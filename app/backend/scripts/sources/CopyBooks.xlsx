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s" sheetId="1" r:id="rId5"/>
  </sheets>
  <definedNames>
    <definedName hidden="1" localSheetId="0" name="_xlnm._FilterDatabase">Books!$B$1:$K$1052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4">
      <text>
        <t xml:space="preserve">first of two books
</t>
      </text>
    </comment>
  </commentList>
</comments>
</file>

<file path=xl/sharedStrings.xml><?xml version="1.0" encoding="utf-8"?>
<sst xmlns="http://schemas.openxmlformats.org/spreadsheetml/2006/main" count="4175" uniqueCount="1949">
  <si>
    <r>
      <rPr>
        <rFont val="Google Sans Text"/>
        <b val="0"/>
        <color rgb="FF1155CC"/>
        <u/>
      </rPr>
      <t>master</t>
    </r>
    <r>
      <rPr>
        <rFont val="Google Sans Text"/>
        <b/>
      </rPr>
      <t xml:space="preserve">   </t>
    </r>
    <r>
      <rPr>
        <rFont val="Google Sans Text"/>
        <b val="0"/>
        <color rgb="FF1155CC"/>
        <u/>
      </rPr>
      <t>summaries</t>
    </r>
    <r>
      <rPr>
        <rFont val="Google Sans Text"/>
        <b val="0"/>
      </rPr>
      <t xml:space="preserve">   </t>
    </r>
    <r>
      <rPr>
        <rFont val="Google Sans Text"/>
        <b/>
      </rPr>
      <t xml:space="preserve"> </t>
    </r>
    <r>
      <rPr>
        <rFont val="Google Sans Text"/>
        <b val="0"/>
        <color rgb="FF1155CC"/>
        <u/>
      </rPr>
      <t>favorites</t>
    </r>
    <r>
      <rPr>
        <rFont val="Google Sans Text"/>
        <b/>
      </rPr>
      <t xml:space="preserve">     </t>
    </r>
    <r>
      <rPr>
        <rFont val="Google Sans Text"/>
        <b val="0"/>
        <color rgb="FF1155CC"/>
        <u/>
      </rPr>
      <t>curated</t>
    </r>
    <r>
      <rPr>
        <rFont val="Google Sans Text"/>
        <b val="0"/>
      </rPr>
      <t xml:space="preserve">   </t>
    </r>
  </si>
  <si>
    <t>Type</t>
  </si>
  <si>
    <t>Prioritity</t>
  </si>
  <si>
    <t>Finished</t>
  </si>
  <si>
    <t>Status</t>
  </si>
  <si>
    <t>Comments</t>
  </si>
  <si>
    <t>Author</t>
  </si>
  <si>
    <t>Owned?</t>
  </si>
  <si>
    <t>Title</t>
  </si>
  <si>
    <t>Title + Author</t>
  </si>
  <si>
    <t>fiction</t>
  </si>
  <si>
    <t>template</t>
  </si>
  <si>
    <t>AUTHOR</t>
  </si>
  <si>
    <t>TITLE</t>
  </si>
  <si>
    <t>TITLE by AUTHOR</t>
  </si>
  <si>
    <t>READING</t>
  </si>
  <si>
    <t xml:space="preserve">       2026</t>
  </si>
  <si>
    <t>in progress</t>
  </si>
  <si>
    <t>with Miles</t>
  </si>
  <si>
    <t>David Bessis</t>
  </si>
  <si>
    <t>Mathematica: A Secret World of Intuition and Curiosity</t>
  </si>
  <si>
    <t>The Napoleonic Wars</t>
  </si>
  <si>
    <t>nonfiction</t>
  </si>
  <si>
    <t>nonfiction read</t>
  </si>
  <si>
    <t>The Door</t>
  </si>
  <si>
    <t>These Precious Days</t>
  </si>
  <si>
    <t>Ann Pachette</t>
  </si>
  <si>
    <t>The Scaling Era: Understanding Artificial Intelligence</t>
  </si>
  <si>
    <t>with Katie</t>
  </si>
  <si>
    <t>Dwarkesh Patel</t>
  </si>
  <si>
    <t>The Scaling Era: Understanding Artificial Intelligence by Dwarkesh Patel</t>
  </si>
  <si>
    <r>
      <rPr>
        <color rgb="FF1155CC"/>
        <u/>
      </rPr>
      <t>The Friction Project: How Smart Leaders Make the Right Things Easier and the Wrong Things Harder</t>
    </r>
  </si>
  <si>
    <t>Deeply thinking book club</t>
  </si>
  <si>
    <t>The Answer is No</t>
  </si>
  <si>
    <t>read</t>
  </si>
  <si>
    <t>Fredrik Bachman</t>
  </si>
  <si>
    <t>The Correspondent</t>
  </si>
  <si>
    <t>Gay book club</t>
  </si>
  <si>
    <t>Virginia Evans</t>
  </si>
  <si>
    <t>Audition: A Novel</t>
  </si>
  <si>
    <t>Katie Kitamura</t>
  </si>
  <si>
    <t>Oliver Burkeman</t>
  </si>
  <si>
    <t>Four Thousand Weeks: Time Management for Mortals</t>
  </si>
  <si>
    <t>3 Days, 9 Months, 27 Years: The Time Traveler's Passport</t>
  </si>
  <si>
    <t>John Scalzi</t>
  </si>
  <si>
    <t>3 Days, 9 Months, 27 Years: The Time Traveler's Passport by John Scalzi</t>
  </si>
  <si>
    <t>fiction read</t>
  </si>
  <si>
    <t>Octavia Butler</t>
  </si>
  <si>
    <t>Dawn</t>
  </si>
  <si>
    <t xml:space="preserve">       Queue</t>
  </si>
  <si>
    <r>
      <rPr>
        <color rgb="FF1155CC"/>
        <u/>
      </rPr>
      <t>Falling Upward: A Spirituality for the Two Halves of Life</t>
    </r>
  </si>
  <si>
    <t>to read</t>
  </si>
  <si>
    <t>Deeply thinking bookclub</t>
  </si>
  <si>
    <r>
      <rPr>
        <color rgb="FF1155CC"/>
        <u/>
      </rPr>
      <t>Bittersweet: How Sorrow and Longing Make Us Whole</t>
    </r>
  </si>
  <si>
    <r>
      <rPr>
        <color rgb="FF1155CC"/>
        <u/>
      </rPr>
      <t>The Power of Moments: Why Certain Experiences Have Extraordinary Impact</t>
    </r>
  </si>
  <si>
    <r>
      <rPr>
        <color rgb="FF1155CC"/>
        <u/>
      </rPr>
      <t>I Never Thought of It That Way: How to Have Fearlessly Curious Conversations in Dangerously Divided Times</t>
    </r>
  </si>
  <si>
    <r>
      <rPr>
        <color rgb="FF1155CC"/>
        <u/>
      </rPr>
      <t>Awe: The New Science of Everyday Wonder and How It Can Transform Your Life</t>
    </r>
    <r>
      <rPr/>
      <t xml:space="preserve"> by Dacher Keltner</t>
    </r>
  </si>
  <si>
    <t>Pieces of the Action</t>
  </si>
  <si>
    <t xml:space="preserve">Vannevar Bush  </t>
  </si>
  <si>
    <t>The Lovely Bones</t>
  </si>
  <si>
    <t>by Deb and Sharna</t>
  </si>
  <si>
    <t>Small Things Like These</t>
  </si>
  <si>
    <r>
      <rPr>
        <color rgb="FF1155CC"/>
        <u/>
      </rPr>
      <t>The Knowledge Machine</t>
    </r>
  </si>
  <si>
    <t>From Alex Wiltschko</t>
  </si>
  <si>
    <t>Michael Strevens</t>
  </si>
  <si>
    <t>recommended by Miles</t>
  </si>
  <si>
    <t>Madeline Miller</t>
  </si>
  <si>
    <t>CIRCE</t>
  </si>
  <si>
    <t>Ziad recommended; Lebonese author</t>
  </si>
  <si>
    <t>Rabih Alameddine</t>
  </si>
  <si>
    <t>The True True Story of Raja the Gullible (and His Mother)</t>
  </si>
  <si>
    <t>Alexandra Wilson</t>
  </si>
  <si>
    <t>The Witness: The most authentic, twisty legal thriller, from the barrister author of In Black and White</t>
  </si>
  <si>
    <t>Chatter: The Voice in Our Head, Why It Matters, and How to Harness It</t>
  </si>
  <si>
    <t>coaching</t>
  </si>
  <si>
    <t>Ethan Kross</t>
  </si>
  <si>
    <t xml:space="preserve">       Started</t>
  </si>
  <si>
    <t>Generations</t>
  </si>
  <si>
    <t>started</t>
  </si>
  <si>
    <t>The Rigor of Angels</t>
  </si>
  <si>
    <t>The Splendid and the Vile</t>
  </si>
  <si>
    <t>All the Colors of the Dark</t>
  </si>
  <si>
    <t>Big Magic</t>
  </si>
  <si>
    <t>kindle</t>
  </si>
  <si>
    <t>Debt</t>
  </si>
  <si>
    <t>James</t>
  </si>
  <si>
    <t xml:space="preserve">       In the queue</t>
  </si>
  <si>
    <t>The Rational Optimist</t>
  </si>
  <si>
    <t>Thinking in Bets</t>
  </si>
  <si>
    <t>Maya Shankar</t>
  </si>
  <si>
    <t>The Other Side of Change: Who We Become When Life Makes Other Plans</t>
  </si>
  <si>
    <t xml:space="preserve">Ann Pachet books </t>
  </si>
  <si>
    <t>American Original: Scalia</t>
  </si>
  <si>
    <t>The Mountain Is You</t>
  </si>
  <si>
    <t>Multipliers</t>
  </si>
  <si>
    <t>The Art of Uncertainty</t>
  </si>
  <si>
    <t>Alison Wood Brooks</t>
  </si>
  <si>
    <t>Talk: The Science of Conversation and the Art of Being Ourselves</t>
  </si>
  <si>
    <t>Talk: The Science of Conversation and the Art of Being Ourselves by Alison Wood Brooks</t>
  </si>
  <si>
    <t>Co-Intelligence</t>
  </si>
  <si>
    <t>Tell Me Everything</t>
  </si>
  <si>
    <t>audible</t>
  </si>
  <si>
    <r>
      <rPr>
        <rFont val="Arial"/>
        <color rgb="FF1155CC"/>
        <u/>
      </rPr>
      <t>review</t>
    </r>
    <r>
      <rPr>
        <rFont val="Arial"/>
      </rPr>
      <t xml:space="preserve"> ⎯ </t>
    </r>
    <r>
      <rPr>
        <rFont val="Arial"/>
        <color rgb="FF1155CC"/>
        <u/>
      </rPr>
      <t>NyTimes 100 Notable books</t>
    </r>
  </si>
  <si>
    <t>Nicholas Boggs</t>
  </si>
  <si>
    <t>Baldwin</t>
  </si>
  <si>
    <r>
      <rPr>
        <rFont val="Arial"/>
        <color rgb="FF1155CC"/>
        <u/>
      </rPr>
      <t>review</t>
    </r>
    <r>
      <rPr>
        <rFont val="Arial"/>
      </rPr>
      <t xml:space="preserve"> ⎯ </t>
    </r>
    <r>
      <rPr>
        <rFont val="Arial"/>
        <color rgb="FF1155CC"/>
        <u/>
      </rPr>
      <t>NyTimes 100 Notable books</t>
    </r>
  </si>
  <si>
    <t>Daniel Kehlmann</t>
  </si>
  <si>
    <t>The Director</t>
  </si>
  <si>
    <r>
      <rPr>
        <rFont val="Arial"/>
        <color rgb="FF1155CC"/>
        <u/>
      </rPr>
      <t>review</t>
    </r>
    <r>
      <rPr>
        <rFont val="Arial"/>
      </rPr>
      <t xml:space="preserve"> ⎯ </t>
    </r>
    <r>
      <rPr>
        <rFont val="Arial"/>
        <color rgb="FF1155CC"/>
        <u/>
      </rPr>
      <t>NyTimes 100 Notable books</t>
    </r>
  </si>
  <si>
    <t>Sophia Rosenfeld</t>
  </si>
  <si>
    <t>The Age of Choice</t>
  </si>
  <si>
    <r>
      <rPr>
        <rFont val="Arial"/>
        <color rgb="FF1155CC"/>
        <u/>
      </rPr>
      <t>review</t>
    </r>
    <r>
      <rPr>
        <rFont val="Arial"/>
      </rPr>
      <t xml:space="preserve"> ⎯ </t>
    </r>
    <r>
      <rPr>
        <rFont val="Arial"/>
        <color rgb="FF1155CC"/>
        <u/>
      </rPr>
      <t>NyTimes 100 Notable books</t>
    </r>
  </si>
  <si>
    <t>Sarah Wynn-Williams</t>
  </si>
  <si>
    <t>Careless People</t>
  </si>
  <si>
    <r>
      <rPr>
        <rFont val="Arial"/>
        <color rgb="FF1155CC"/>
        <u/>
      </rPr>
      <t>review</t>
    </r>
    <r>
      <rPr>
        <rFont val="Arial"/>
      </rPr>
      <t xml:space="preserve"> ⎯ </t>
    </r>
    <r>
      <rPr>
        <rFont val="Arial"/>
        <color rgb="FF1155CC"/>
        <u/>
      </rPr>
      <t>NyTimes 100 Notable books</t>
    </r>
  </si>
  <si>
    <t>Stephen Greenblatt</t>
  </si>
  <si>
    <t>Dark Renaissance</t>
  </si>
  <si>
    <r>
      <rPr>
        <rFont val="Arial"/>
        <color rgb="FF1155CC"/>
        <u/>
      </rPr>
      <t>review</t>
    </r>
    <r>
      <rPr>
        <rFont val="Arial"/>
      </rPr>
      <t xml:space="preserve"> ⎯ </t>
    </r>
    <r>
      <rPr>
        <rFont val="Arial"/>
        <color rgb="FF1155CC"/>
        <u/>
      </rPr>
      <t>NyTimes 100 Notable books</t>
    </r>
  </si>
  <si>
    <t>Rick Atkinson</t>
  </si>
  <si>
    <t>The British Are Coming: The War for America, Lexington to Princeton, 1775-1777</t>
  </si>
  <si>
    <r>
      <rPr>
        <rFont val="Arial"/>
        <color rgb="FF1155CC"/>
        <u/>
      </rPr>
      <t>review</t>
    </r>
    <r>
      <rPr>
        <rFont val="Arial"/>
      </rPr>
      <t xml:space="preserve"> ⎯ </t>
    </r>
    <r>
      <rPr>
        <rFont val="Arial"/>
        <color rgb="FF1155CC"/>
        <u/>
      </rPr>
      <t>NyTimes 100 Notable books</t>
    </r>
  </si>
  <si>
    <t>Ian Leslie</t>
  </si>
  <si>
    <t>John &amp; Paul</t>
  </si>
  <si>
    <r>
      <rPr>
        <rFont val="Arial"/>
        <color rgb="FF1155CC"/>
        <u/>
      </rPr>
      <t>review</t>
    </r>
    <r>
      <rPr>
        <rFont val="Arial"/>
      </rPr>
      <t xml:space="preserve"> ⎯ </t>
    </r>
    <r>
      <rPr>
        <rFont val="Arial"/>
        <color rgb="FF1155CC"/>
        <u/>
      </rPr>
      <t>NyTimes 100 Notable books</t>
    </r>
  </si>
  <si>
    <t>Scott Anderson</t>
  </si>
  <si>
    <t>King of Kings</t>
  </si>
  <si>
    <r>
      <rPr>
        <rFont val="Arial"/>
        <color rgb="FF1155CC"/>
        <u/>
      </rPr>
      <t>review</t>
    </r>
    <r>
      <rPr>
        <rFont val="Arial"/>
      </rPr>
      <t xml:space="preserve"> ⎯ </t>
    </r>
    <r>
      <rPr>
        <rFont val="Arial"/>
        <color rgb="FF1155CC"/>
        <u/>
      </rPr>
      <t>NyTimes 100 Notable books</t>
    </r>
  </si>
  <si>
    <t>Ron Chernow</t>
  </si>
  <si>
    <t>Mark Twain</t>
  </si>
  <si>
    <r>
      <rPr>
        <rFont val="Arial"/>
        <color rgb="FF1155CC"/>
        <u/>
      </rPr>
      <t>review</t>
    </r>
    <r>
      <rPr>
        <rFont val="Arial"/>
      </rPr>
      <t xml:space="preserve"> ⎯ </t>
    </r>
    <r>
      <rPr>
        <rFont val="Arial"/>
        <color rgb="FF1155CC"/>
        <u/>
      </rPr>
      <t>NyTimes 100 Notable books</t>
    </r>
  </si>
  <si>
    <t>Andrew Ross Sorkin</t>
  </si>
  <si>
    <r>
      <rPr>
        <rFont val="Arial"/>
        <color rgb="FF1155CC"/>
        <u/>
      </rPr>
      <t>review</t>
    </r>
    <r>
      <rPr>
        <rFont val="Arial"/>
      </rPr>
      <t xml:space="preserve"> ⎯ </t>
    </r>
    <r>
      <rPr>
        <rFont val="Arial"/>
        <color rgb="FF1155CC"/>
        <u/>
      </rPr>
      <t>NyTimes 100 Notable books</t>
    </r>
  </si>
  <si>
    <t>Kate Summerscale</t>
  </si>
  <si>
    <t>The Peepshow</t>
  </si>
  <si>
    <t>My Friends</t>
  </si>
  <si>
    <r>
      <rPr>
        <rFont val="Arial, Helvetica, sans-serif"/>
        <color rgb="FF222222"/>
      </rPr>
      <t xml:space="preserve">from </t>
    </r>
    <r>
      <rPr>
        <rFont val="Arial, Helvetica, sans-serif"/>
        <color rgb="FF1155CC"/>
        <u/>
      </rPr>
      <t>Bookbub</t>
    </r>
  </si>
  <si>
    <t>Fredrik Backman</t>
  </si>
  <si>
    <r>
      <rPr>
        <rFont val="Arial, Helvetica, sans-serif"/>
        <color rgb="FF222222"/>
      </rPr>
      <t xml:space="preserve">from </t>
    </r>
    <r>
      <rPr>
        <rFont val="Arial, Helvetica, sans-serif"/>
        <color rgb="FF1155CC"/>
        <u/>
      </rPr>
      <t>Bookbub</t>
    </r>
  </si>
  <si>
    <t>Heather Aimee O’Neill</t>
  </si>
  <si>
    <t>The Irish Goodbye</t>
  </si>
  <si>
    <r>
      <rPr>
        <rFont val="Arial, Helvetica, sans-serif"/>
        <color rgb="FF222222"/>
      </rPr>
      <t xml:space="preserve">from </t>
    </r>
    <r>
      <rPr>
        <rFont val="Arial, Helvetica, sans-serif"/>
        <color rgb="FF1155CC"/>
        <u/>
      </rPr>
      <t>Bookbub</t>
    </r>
  </si>
  <si>
    <t>Ian McEwan</t>
  </si>
  <si>
    <t>Amsterdam</t>
  </si>
  <si>
    <r>
      <rPr>
        <rFont val="Arial, Helvetica, sans-serif"/>
        <color rgb="FF222222"/>
      </rPr>
      <t xml:space="preserve">from </t>
    </r>
    <r>
      <rPr>
        <rFont val="Arial, Helvetica, sans-serif"/>
        <color rgb="FF1155CC"/>
        <u/>
      </rPr>
      <t>Bookbub</t>
    </r>
  </si>
  <si>
    <t>Robert Dugoni</t>
  </si>
  <si>
    <t>The Extraordinary Life of Sam Hell</t>
  </si>
  <si>
    <r>
      <rPr>
        <rFont val="Arial, Helvetica, sans-serif"/>
        <color rgb="FF222222"/>
      </rPr>
      <t xml:space="preserve">from </t>
    </r>
    <r>
      <rPr>
        <rFont val="Arial, Helvetica, sans-serif"/>
        <color rgb="FF1155CC"/>
        <u/>
      </rPr>
      <t>Bookbub</t>
    </r>
  </si>
  <si>
    <t>Patrick Ryan</t>
  </si>
  <si>
    <t>Buckeye</t>
  </si>
  <si>
    <r>
      <rPr>
        <rFont val="Arial, Helvetica, sans-serif"/>
        <color rgb="FF222222"/>
      </rPr>
      <t xml:space="preserve">from </t>
    </r>
    <r>
      <rPr>
        <rFont val="Arial, Helvetica, sans-serif"/>
        <color rgb="FF1155CC"/>
        <u/>
      </rPr>
      <t>Bookbub</t>
    </r>
  </si>
  <si>
    <t>Jayne Anne Phillips</t>
  </si>
  <si>
    <t>Night Watch</t>
  </si>
  <si>
    <r>
      <rPr>
        <rFont val="Arial, Helvetica, sans-serif"/>
        <color rgb="FF222222"/>
      </rPr>
      <t xml:space="preserve">from </t>
    </r>
    <r>
      <rPr>
        <rFont val="Arial, Helvetica, sans-serif"/>
        <color rgb="FF1155CC"/>
        <u/>
      </rPr>
      <t>Bookbub 2</t>
    </r>
  </si>
  <si>
    <t>James Goodhand</t>
  </si>
  <si>
    <t>Reports of His Death Have Been Greatly Exaggerated</t>
  </si>
  <si>
    <t>Reports of His Death Have Been Greatly Exaggerated by James Goodhand</t>
  </si>
  <si>
    <t>David Baldacci</t>
  </si>
  <si>
    <t>Zero Day</t>
  </si>
  <si>
    <t>My Brilliant Friend</t>
  </si>
  <si>
    <t>So Big</t>
  </si>
  <si>
    <t>Death on the Isle</t>
  </si>
  <si>
    <t>The Great Circle</t>
  </si>
  <si>
    <t>The Will of the Many</t>
  </si>
  <si>
    <t>Girl, Woman, Other</t>
  </si>
  <si>
    <t>The Book that Wouldn't Burn</t>
  </si>
  <si>
    <t>Limitless</t>
  </si>
  <si>
    <t>Strong recommendation by Ann</t>
  </si>
  <si>
    <t>James Islington</t>
  </si>
  <si>
    <t>Trust</t>
  </si>
  <si>
    <t>Some Desperate Glory</t>
  </si>
  <si>
    <t>Age of Revolutions</t>
  </si>
  <si>
    <t>State of Wonder</t>
  </si>
  <si>
    <t>Heart Lamp</t>
  </si>
  <si>
    <t>Lovely War</t>
  </si>
  <si>
    <t>The Brothers: the Dulles...</t>
  </si>
  <si>
    <t>The Magnolia Palace</t>
  </si>
  <si>
    <t>libro</t>
  </si>
  <si>
    <t xml:space="preserve">Society of Ill-Mannered Ladies </t>
  </si>
  <si>
    <t>Maps of Our Spectacular Bodies</t>
  </si>
  <si>
    <t>The Lincoln Highway</t>
  </si>
  <si>
    <t>The Four Winds</t>
  </si>
  <si>
    <t>The Winemaker's Wife</t>
  </si>
  <si>
    <r>
      <rPr>
        <rFont val="Arial"/>
        <color rgb="FF1155CC"/>
        <u/>
      </rPr>
      <t>review</t>
    </r>
    <r>
      <rPr>
        <rFont val="Arial"/>
      </rPr>
      <t xml:space="preserve"> ⎯ </t>
    </r>
    <r>
      <rPr>
        <rFont val="Arial"/>
        <color rgb="FF1155CC"/>
        <u/>
      </rPr>
      <t>NyTimes Thrillers</t>
    </r>
  </si>
  <si>
    <t>Denise Mina</t>
  </si>
  <si>
    <t>The Good Liar</t>
  </si>
  <si>
    <t>The Good Liar by Denise Mina</t>
  </si>
  <si>
    <r>
      <rPr>
        <rFont val="Arial"/>
        <color rgb="FF1155CC"/>
        <u/>
      </rPr>
      <t>review</t>
    </r>
    <r>
      <rPr>
        <rFont val="Arial"/>
      </rPr>
      <t xml:space="preserve"> ⎯ </t>
    </r>
    <r>
      <rPr>
        <rFont val="Arial"/>
        <color rgb="FF1155CC"/>
        <u/>
      </rPr>
      <t>NyTimes Thrillers</t>
    </r>
  </si>
  <si>
    <t>John Banville</t>
  </si>
  <si>
    <t>Venetian Vespers</t>
  </si>
  <si>
    <t>Venetian Vespers by John Banville</t>
  </si>
  <si>
    <r>
      <rPr>
        <rFont val="Arial"/>
        <color rgb="FF1155CC"/>
        <u/>
      </rPr>
      <t>review</t>
    </r>
    <r>
      <rPr>
        <rFont val="Arial"/>
      </rPr>
      <t xml:space="preserve"> ⎯ </t>
    </r>
    <r>
      <rPr>
        <rFont val="Arial"/>
        <color rgb="FF1155CC"/>
        <u/>
      </rPr>
      <t>NyTimes 100 Notable books</t>
    </r>
  </si>
  <si>
    <t>Sarah MacLean</t>
  </si>
  <si>
    <t>These Summer Storms</t>
  </si>
  <si>
    <r>
      <rPr>
        <rFont val="Arial"/>
        <color rgb="FF1155CC"/>
        <u/>
      </rPr>
      <t>review</t>
    </r>
    <r>
      <rPr>
        <rFont val="Arial"/>
      </rPr>
      <t xml:space="preserve"> ⎯ </t>
    </r>
    <r>
      <rPr>
        <rFont val="Arial"/>
        <color rgb="FF1155CC"/>
        <u/>
      </rPr>
      <t>NyTimes 100 Notable books</t>
    </r>
  </si>
  <si>
    <t>Thomas Pynchon</t>
  </si>
  <si>
    <t>Shadow Ticket</t>
  </si>
  <si>
    <t>Book 1 of many</t>
  </si>
  <si>
    <t>Solvej Balle</t>
  </si>
  <si>
    <t>On the Calculation of Volume</t>
  </si>
  <si>
    <r>
      <rPr>
        <rFont val="Arial"/>
        <color rgb="FF1155CC"/>
        <u/>
      </rPr>
      <t>review</t>
    </r>
    <r>
      <rPr>
        <rFont val="Arial"/>
      </rPr>
      <t xml:space="preserve"> ⎯ </t>
    </r>
    <r>
      <rPr>
        <rFont val="Arial"/>
        <color rgb="FF1155CC"/>
        <u/>
      </rPr>
      <t>NyTimes 100 Notable books</t>
    </r>
  </si>
  <si>
    <t>Victor Suthammanont</t>
  </si>
  <si>
    <t>Hollow Spaces</t>
  </si>
  <si>
    <r>
      <rPr>
        <rFont val="Arial"/>
        <color rgb="FF1155CC"/>
        <u/>
      </rPr>
      <t>review</t>
    </r>
    <r>
      <rPr>
        <rFont val="Arial"/>
      </rPr>
      <t xml:space="preserve"> ⎯ </t>
    </r>
    <r>
      <rPr>
        <rFont val="Arial"/>
        <color rgb="FF1155CC"/>
        <u/>
      </rPr>
      <t>NyTimes 100 Notable books</t>
    </r>
  </si>
  <si>
    <t>READ</t>
  </si>
  <si>
    <t xml:space="preserve">       2025</t>
  </si>
  <si>
    <t>The House of Doors</t>
  </si>
  <si>
    <t>The God in the Woods</t>
  </si>
  <si>
    <t>When We Fell Apart</t>
  </si>
  <si>
    <t>You Are Here</t>
  </si>
  <si>
    <t>The Trust</t>
  </si>
  <si>
    <t>Life in Three Dimensions</t>
  </si>
  <si>
    <t>Oh William</t>
  </si>
  <si>
    <t>The Left Hand of Darkness</t>
  </si>
  <si>
    <t>The Underground Railroad</t>
  </si>
  <si>
    <t>Shards of Earth</t>
  </si>
  <si>
    <t>The Dark Forest</t>
  </si>
  <si>
    <t>Death's End</t>
  </si>
  <si>
    <t>The Hunter</t>
  </si>
  <si>
    <t>The Long Walk</t>
  </si>
  <si>
    <t>A Brief History of Intelligence</t>
  </si>
  <si>
    <t>The Ministry of Time</t>
  </si>
  <si>
    <t>Inner Compass</t>
  </si>
  <si>
    <t>Shift</t>
  </si>
  <si>
    <t>There Are Rivers in the Sky</t>
  </si>
  <si>
    <r>
      <rPr>
        <rFont val="&quot;Amazon Ember&quot;, Arial, sans-serif"/>
        <color rgb="FF1155CC"/>
        <u/>
      </rPr>
      <t>Any Human Heart</t>
    </r>
  </si>
  <si>
    <t>The Cartographers</t>
  </si>
  <si>
    <t>North Woods</t>
  </si>
  <si>
    <t>The Clementine Complex</t>
  </si>
  <si>
    <t>The Impossible Fortune</t>
  </si>
  <si>
    <r>
      <rPr>
        <rFont val="Arial"/>
        <color rgb="FF9900FF"/>
        <u/>
      </rPr>
      <t>Violeta</t>
    </r>
  </si>
  <si>
    <t>The Emperor of Gladness by Ocean Vuong</t>
  </si>
  <si>
    <t>I See You've Called in Dead by John Kenney</t>
  </si>
  <si>
    <t>Anxious People: A Novel</t>
  </si>
  <si>
    <t>Audition</t>
  </si>
  <si>
    <t>Gay Book Club #4</t>
  </si>
  <si>
    <t>Audition by Katie Kitamura</t>
  </si>
  <si>
    <r>
      <rPr>
        <rFont val="Arial"/>
      </rPr>
      <t xml:space="preserve">from </t>
    </r>
    <r>
      <rPr>
        <rFont val="Arial"/>
        <color rgb="FF1155CC"/>
        <u/>
      </rPr>
      <t>Bookbub</t>
    </r>
  </si>
  <si>
    <t>Sue Hincenbergs</t>
  </si>
  <si>
    <t>The Retirement Plan</t>
  </si>
  <si>
    <t xml:space="preserve">       2024</t>
  </si>
  <si>
    <t>The Demon of Unrest</t>
  </si>
  <si>
    <t>The Wager</t>
  </si>
  <si>
    <t>Killers of the Flower Moon</t>
  </si>
  <si>
    <t>The Collapsing Empire</t>
  </si>
  <si>
    <t>The Spy Coast</t>
  </si>
  <si>
    <t>The Maniac</t>
  </si>
  <si>
    <t>The Silent Patient</t>
  </si>
  <si>
    <t>Demon Copperhead</t>
  </si>
  <si>
    <t>Tomorrow and Tomorrow..</t>
  </si>
  <si>
    <t>We Solve Murders</t>
  </si>
  <si>
    <t>You Like It Darker</t>
  </si>
  <si>
    <t>Listen for the Lie</t>
  </si>
  <si>
    <t>Creation Lake</t>
  </si>
  <si>
    <t>A Gentleman in Moscow</t>
  </si>
  <si>
    <t>The Boy: Ron Howard</t>
  </si>
  <si>
    <t>Milkman</t>
  </si>
  <si>
    <t>Exiles</t>
  </si>
  <si>
    <t>The Heaven/Earth Grocery</t>
  </si>
  <si>
    <t>The Dispatcher</t>
  </si>
  <si>
    <t>Tom Lake</t>
  </si>
  <si>
    <t>We Begin at the End</t>
  </si>
  <si>
    <t>Here One Moment</t>
  </si>
  <si>
    <t>None of This is True</t>
  </si>
  <si>
    <t>Benjamin Franklin</t>
  </si>
  <si>
    <t>The Secret History</t>
  </si>
  <si>
    <t>Donna Tartt</t>
  </si>
  <si>
    <t>The Last Devil to Die</t>
  </si>
  <si>
    <t xml:space="preserve">       Abandoned</t>
  </si>
  <si>
    <t>Havoc</t>
  </si>
  <si>
    <t>canceled</t>
  </si>
  <si>
    <t>unlikeable characters</t>
  </si>
  <si>
    <t>New Rules of Influence</t>
  </si>
  <si>
    <t>branding</t>
  </si>
  <si>
    <t>OTHERS to read</t>
  </si>
  <si>
    <t>Peter Clines</t>
  </si>
  <si>
    <t>Kim Stanley Robinson</t>
  </si>
  <si>
    <t>David Gilbert</t>
  </si>
  <si>
    <t>&amp; Sons</t>
  </si>
  <si>
    <t>Brianna Wiest</t>
  </si>
  <si>
    <t>101 Essays That Will Change The Way You Think</t>
  </si>
  <si>
    <t>Bernard Cornwell</t>
  </si>
  <si>
    <t>1356: A Novel</t>
  </si>
  <si>
    <t>1929: Inside the Greatest Crash in Wall Street History--and How It Shattered a Nation</t>
  </si>
  <si>
    <t>Joe Hill</t>
  </si>
  <si>
    <t>20th Century Ghosts</t>
  </si>
  <si>
    <t>Elin Hilderbrand</t>
  </si>
  <si>
    <t>28 Summers</t>
  </si>
  <si>
    <t>Hamilton Helmer</t>
  </si>
  <si>
    <t>7 Powers: The Foundations of Business Strategy</t>
  </si>
  <si>
    <t>Steve Hamilton</t>
  </si>
  <si>
    <t>A Cold Day in Paradise: An Alex McKnight Novel</t>
  </si>
  <si>
    <t>Anthony Marra</t>
  </si>
  <si>
    <t>A Constellation of Vital Phenomena</t>
  </si>
  <si>
    <t>Naomi Novik</t>
  </si>
  <si>
    <t>A Deadly Education: A Novel (The Scholomance)</t>
  </si>
  <si>
    <t>Jim Rooney, Joe Greene</t>
  </si>
  <si>
    <t>A Different Way to Win: Dan Rooney's Story from the Super Bowl to the Rooney Rule</t>
  </si>
  <si>
    <t>Deborah Harkness</t>
  </si>
  <si>
    <t>A Discovery of Witches</t>
  </si>
  <si>
    <t>Laurens van der Post</t>
  </si>
  <si>
    <t>A Far-Off Place</t>
  </si>
  <si>
    <t>Elizabeth Warren</t>
  </si>
  <si>
    <t>A Fighting Chance</t>
  </si>
  <si>
    <t>Thomas Lewis, Richard Lannon</t>
  </si>
  <si>
    <t>A General Theory of Love</t>
  </si>
  <si>
    <t>Pulitzer Prize Finalist</t>
  </si>
  <si>
    <t>Dave Eggers</t>
  </si>
  <si>
    <t>A Heartbreaking Work of Staggering Genius</t>
  </si>
  <si>
    <t>Ron Suskind</t>
  </si>
  <si>
    <t>A Hope in the Unseen: An American Odyssey from the Inner City to the Ivy League</t>
  </si>
  <si>
    <t>E. H. Gombrich, Clifford Harper</t>
  </si>
  <si>
    <t>A Little History of the World</t>
  </si>
  <si>
    <t>A Man Called Ove: A Novel</t>
  </si>
  <si>
    <t>Lucia Berlin, Stephen Emerson</t>
  </si>
  <si>
    <t>A Manual for Cleaning Women: Selected Stories</t>
  </si>
  <si>
    <t>Warren Berger</t>
  </si>
  <si>
    <t>A More Beautiful Question: The Power of Inquiry to Spark Breakthrough Ideas</t>
  </si>
  <si>
    <t>Jeff Zinn, Howard Zinn</t>
  </si>
  <si>
    <t>A People's History of the United States</t>
  </si>
  <si>
    <t>Howard Zinn</t>
  </si>
  <si>
    <t>A People's History of the United States: 1492 to Present, Revised and Updated Edition</t>
  </si>
  <si>
    <t>Robert F. Worth</t>
  </si>
  <si>
    <t>A Rage for Order: The Middle East in Turmoil, from Tahrir Square to ISIS</t>
  </si>
  <si>
    <t>Veronica O'Keane</t>
  </si>
  <si>
    <t>A Sense of Self: Memory, the Brain, and Who We Are</t>
  </si>
  <si>
    <t>Bill Bryson</t>
  </si>
  <si>
    <t>A Short History of Nearly Everything</t>
  </si>
  <si>
    <t>Mark Helprin</t>
  </si>
  <si>
    <t>A Soldier Of The Great War</t>
  </si>
  <si>
    <t>Anne Tyler</t>
  </si>
  <si>
    <t>A Spool of Blue Thread: A Novel</t>
  </si>
  <si>
    <t>Orhan Pamuk, Ekin Oklap</t>
  </si>
  <si>
    <t>A Strangeness in My Mind: A novel</t>
  </si>
  <si>
    <t>David Foster Wallace</t>
  </si>
  <si>
    <t>A Supposedly Fun Thing I'll Never Do Again: Essays and Arguments</t>
  </si>
  <si>
    <t>Jennifer Egan</t>
  </si>
  <si>
    <t>A Visit from the Goon Squad: Pulitzer Prize Winner</t>
  </si>
  <si>
    <t>A Walk in the Woods: Rediscovering America on the Appalachian Trail</t>
  </si>
  <si>
    <t>Maeve Binchy</t>
  </si>
  <si>
    <t>A Week in Winter</t>
  </si>
  <si>
    <t>The Expanse, book 3</t>
  </si>
  <si>
    <t>James S. A. Corey</t>
  </si>
  <si>
    <t xml:space="preserve">Abaddon's Gate </t>
  </si>
  <si>
    <t>Chris Bellamy</t>
  </si>
  <si>
    <t>Absolute War: Soviet Russia in the Second World War</t>
  </si>
  <si>
    <t>Singularity</t>
  </si>
  <si>
    <t>Charles Stross</t>
  </si>
  <si>
    <t>Accelerando</t>
  </si>
  <si>
    <t>Jack Cheevers</t>
  </si>
  <si>
    <t>Act of War: Lyndon Johnson, North Korea, and the Capture of the Spy Ship Pueblo</t>
  </si>
  <si>
    <t>William Goldman</t>
  </si>
  <si>
    <t>Adventures in the Screen Trade: A Personal View of Hollywood and the Screenwriting</t>
  </si>
  <si>
    <t>Alan S. Blinder</t>
  </si>
  <si>
    <t>After the Music Stopped: The Financial Crisis, the Response, and the Work Ahead</t>
  </si>
  <si>
    <t>Alasdair MacIntyre</t>
  </si>
  <si>
    <t>After Virtue: A Study in Moral Theory</t>
  </si>
  <si>
    <t>The Jackpot Trilogy Book 2</t>
  </si>
  <si>
    <t>William Gibson</t>
  </si>
  <si>
    <t>Agency</t>
  </si>
  <si>
    <t>Lewis Richmond</t>
  </si>
  <si>
    <t>Aging as a Spiritual Practice: A Contemplative Guide to Growing Older and Wiser</t>
  </si>
  <si>
    <t>Elan Mastai</t>
  </si>
  <si>
    <t>All Our Wrong Todays: A Novel</t>
  </si>
  <si>
    <t>Robert Penn Warren, Joseph Blotner</t>
  </si>
  <si>
    <t>All the King's Men</t>
  </si>
  <si>
    <t>Suzanne Bates</t>
  </si>
  <si>
    <t>All the Leader You Can Be: The Science of Achieving Extraordinary Executive Presence</t>
  </si>
  <si>
    <t>Olen Steinhauer</t>
  </si>
  <si>
    <t>All the Old Knives</t>
  </si>
  <si>
    <t>Richard K. Morgan</t>
  </si>
  <si>
    <t>Altered Carbon</t>
  </si>
  <si>
    <t>Andrew J. Bacevich</t>
  </si>
  <si>
    <t>America's War for the Greater Middle East: A Military History</t>
  </si>
  <si>
    <t>Oprah's Book Club</t>
  </si>
  <si>
    <t>Jeanine Cummins</t>
  </si>
  <si>
    <t>American Dirt: A Novel</t>
  </si>
  <si>
    <t>Bryce G. Hoffman</t>
  </si>
  <si>
    <t>American Icon: Alan Mulally and the Fight to Save Ford Motor Company</t>
  </si>
  <si>
    <t>Jon Meacham</t>
  </si>
  <si>
    <t>American Lion: Andrew Jackson in the White House</t>
  </si>
  <si>
    <t>Joan Biskupic</t>
  </si>
  <si>
    <t>American Original: The Life and Constitution of Supreme Court Justice Antonin Scalia</t>
  </si>
  <si>
    <t>Kai Bird, Martin J. Sherwin</t>
  </si>
  <si>
    <t>American Prometheus</t>
  </si>
  <si>
    <t>Chimamanda Ngozi Adichie</t>
  </si>
  <si>
    <t>Americanah: A novel</t>
  </si>
  <si>
    <t>Robert Harris</t>
  </si>
  <si>
    <t>An Officer and a Spy: A novel</t>
  </si>
  <si>
    <t>Doris Kearns Goodwin</t>
  </si>
  <si>
    <t>An Unfinished Love Story: A Personal History of the 1960s</t>
  </si>
  <si>
    <t>Caroline Myss</t>
  </si>
  <si>
    <t>Anatomy of the Spirit: The Seven Stages of Power and Healing</t>
  </si>
  <si>
    <t>Lawrence Weschler</t>
  </si>
  <si>
    <t>And How Are You, Dr. Sacks?: A Biographical Memoir of Oliver Sacks</t>
  </si>
  <si>
    <t>Khaled Hosseini</t>
  </si>
  <si>
    <t>And the Mountains Echoed</t>
  </si>
  <si>
    <t>Richard Engel</t>
  </si>
  <si>
    <t>And Then All Hell Broke Loose: Two Decades in the Middle East</t>
  </si>
  <si>
    <t>Laura Lippman</t>
  </si>
  <si>
    <t>And When She Was Good: A Novel</t>
  </si>
  <si>
    <t>Richard Meryman</t>
  </si>
  <si>
    <t>Andrew Wyeth: A Secret Life</t>
  </si>
  <si>
    <t>Wallace Stegner, Jackson J. Benson</t>
  </si>
  <si>
    <t>Angle of Repose</t>
  </si>
  <si>
    <t>Jennifer Jill Araya, Sierra Greer</t>
  </si>
  <si>
    <t>Annie Bot: A Novel</t>
  </si>
  <si>
    <t>Ansel Adams, Robert Baker</t>
  </si>
  <si>
    <t>Ansel Adams: The Camera</t>
  </si>
  <si>
    <t>William Boyd</t>
  </si>
  <si>
    <t>Any Human Heart</t>
  </si>
  <si>
    <t>Jay Winik</t>
  </si>
  <si>
    <t>April 1865: The Month That Saved America (P.S.)</t>
  </si>
  <si>
    <t>Iain Pears</t>
  </si>
  <si>
    <t>Arcadia: A novel</t>
  </si>
  <si>
    <t>Barry Lopez</t>
  </si>
  <si>
    <t>Arctic Dreams: National Book Award Winner</t>
  </si>
  <si>
    <t>Antony Beevor</t>
  </si>
  <si>
    <t>Ardennes 1944: The Battle of the Bulge</t>
  </si>
  <si>
    <t>Barry Lord</t>
  </si>
  <si>
    <t>Art &amp; Energy: How Culture Changes</t>
  </si>
  <si>
    <t>David Bayles, Ted Orland</t>
  </si>
  <si>
    <t>Art &amp; Fear: Observations On the Perils (and Rewards) of Artmaking</t>
  </si>
  <si>
    <t>Andy Weir</t>
  </si>
  <si>
    <t>Artemis: A Novel</t>
  </si>
  <si>
    <t>Arcana Imperii</t>
  </si>
  <si>
    <t>Artifact Space</t>
  </si>
  <si>
    <t>Meredith Broussard</t>
  </si>
  <si>
    <t>Artificial Unintelligence: How Computers Misunderstand the World (Mit Press)</t>
  </si>
  <si>
    <t>Elizabeth Poliner</t>
  </si>
  <si>
    <t>As Close to Us as Breathing: A Novel</t>
  </si>
  <si>
    <t>Robert D. Kaplan</t>
  </si>
  <si>
    <t>Asia's Cauldron: The South China Sea and the End of a Stable Pacific</t>
  </si>
  <si>
    <t>Esther Hicks, Jerry Hicks</t>
  </si>
  <si>
    <t>Ask and It Is Given: Learning to Manifest Your Desires</t>
  </si>
  <si>
    <t>Neil de Grasse Tyson</t>
  </si>
  <si>
    <t>Astrophysics for People in a Hurry</t>
  </si>
  <si>
    <t>At Home: A Short History of Private Life</t>
  </si>
  <si>
    <t>Sarah Bakewell</t>
  </si>
  <si>
    <t>At the Existentialist Café: Freedom, Being, and Apricot Cocktails with Jean-Paul Sartre, Simone de Beauvoir, Albert Camus, Martin Heidegger, Maurice Merleau-Ponty and Others</t>
  </si>
  <si>
    <t>Ali Smith</t>
  </si>
  <si>
    <t>Autumn: A Novel (Seasonal Quartet)</t>
  </si>
  <si>
    <t>John Irving</t>
  </si>
  <si>
    <t>Avenue of Mysteries</t>
  </si>
  <si>
    <t>R. F. Kuang</t>
  </si>
  <si>
    <t>Babel: Or the Necessity of Violence: An Arcane History of the Oxford Translators’ Revolution―An Historic Fantasy of Dark Academia, Perfect for Fans of Historical Fiction and Nineteenth Century England</t>
  </si>
  <si>
    <t>DK Publishing</t>
  </si>
  <si>
    <t>Back Roads Northern &amp; Central Italy (Eyewitness Travel Back Roads)</t>
  </si>
  <si>
    <t>Tom Wolfe</t>
  </si>
  <si>
    <t>Back to Blood</t>
  </si>
  <si>
    <t>Julia Phillips</t>
  </si>
  <si>
    <t>Bear: A Novel</t>
  </si>
  <si>
    <t>Jess Walter</t>
  </si>
  <si>
    <t>Beautiful Ruins: A Novel</t>
  </si>
  <si>
    <t>Courtney Maum</t>
  </si>
  <si>
    <t>Before and After the Book Deal: A Writer's Guide to Finishing, Publishing, Promoting, and Surviving Your First Book</t>
  </si>
  <si>
    <t>Katherine Boo (Library Binding) |</t>
  </si>
  <si>
    <t>Behind the Beautiful Forevers: Life, Death, and Hope in a Mumbai Undercity</t>
  </si>
  <si>
    <t>Atul Gawande</t>
  </si>
  <si>
    <t>Being Mortal: Medicine and What Matters in the End</t>
  </si>
  <si>
    <t>Errol Morris</t>
  </si>
  <si>
    <t>Believing Is Seeing: Observations on the Mysteries of Photography</t>
  </si>
  <si>
    <t>Walter Isaacson</t>
  </si>
  <si>
    <t>Benjamin Franklin: An American Life</t>
  </si>
  <si>
    <t>Ta-Nehisi Coates</t>
  </si>
  <si>
    <t>Between the World and Me</t>
  </si>
  <si>
    <t>Diane Chamberlain</t>
  </si>
  <si>
    <t>Big Lies in a Small Town: A Novel</t>
  </si>
  <si>
    <t>Supratim Choudhuri</t>
  </si>
  <si>
    <t>Bioinformatics for Beginners: Genes, Genomes, Molecular Evolution, Databases and Analytical Tools</t>
  </si>
  <si>
    <t>Janine M Benyus</t>
  </si>
  <si>
    <t>Biomimicry: Innovation Inspired by Nature</t>
  </si>
  <si>
    <t>Louis de Bernieres</t>
  </si>
  <si>
    <t>Birds Without Wings</t>
  </si>
  <si>
    <t>Mateo Askaripour</t>
  </si>
  <si>
    <t>Black Buck: A Novel</t>
  </si>
  <si>
    <t>Sheelah Kolhatkar</t>
  </si>
  <si>
    <t>Black Edge: Inside Information, Dirty Money, and the Quest to Bring Down the Most Wanted Man on Wall Street</t>
  </si>
  <si>
    <t>Dick Lehr, Gerard O'Neill</t>
  </si>
  <si>
    <t>Black Mass: Whitey Bulger, the FBI, and a Devil's Deal</t>
  </si>
  <si>
    <t>Sherman Alexie</t>
  </si>
  <si>
    <t>Blasphemy: New and Selected Stories</t>
  </si>
  <si>
    <t>Bleeding Edge</t>
  </si>
  <si>
    <t>Miles Taylor</t>
  </si>
  <si>
    <t>Blowback: A Warning to Save Democracy from Trump's Revenge</t>
  </si>
  <si>
    <t>Kerry Howley</t>
  </si>
  <si>
    <t>Bottoms Up and the Devil Laughs: A Journey Through the Deep State</t>
  </si>
  <si>
    <t>Arthur Morey, Robert D. Putnam</t>
  </si>
  <si>
    <t>Bowling Alone: Revised and Updated: The Collapse and Revival of American Community</t>
  </si>
  <si>
    <t>Robin Wall Kimmerer</t>
  </si>
  <si>
    <t>Braiding Sweetgrass: Indigenous Wisdom, Scientific Knowledge and the Teachings of Plants</t>
  </si>
  <si>
    <t>Aldous Huxley</t>
  </si>
  <si>
    <t>Brave New World</t>
  </si>
  <si>
    <t>Michael C. Grumley</t>
  </si>
  <si>
    <t>Breakthrough</t>
  </si>
  <si>
    <t>James Nestoraud</t>
  </si>
  <si>
    <t>Breath: The New Science of a Lost Art</t>
  </si>
  <si>
    <t>Paulo Coelho</t>
  </si>
  <si>
    <t>Brida: From the Bestselling Author of The Alchemist</t>
  </si>
  <si>
    <t>Barry Hughart</t>
  </si>
  <si>
    <t>Bridge of Birds: A Novel of an Ancient China That Never Was (The Chronicles of Master Li and Number Ten Ox)</t>
  </si>
  <si>
    <t>The Brilliance Trilogy Book 1</t>
  </si>
  <si>
    <t>Marcus Sakey</t>
  </si>
  <si>
    <t>Brilliance</t>
  </si>
  <si>
    <t>Rashid Khalidi</t>
  </si>
  <si>
    <t>Brokers of Deceit: How the U.S. Has Undermined Peace in the Middle East</t>
  </si>
  <si>
    <t>Michael Dirda</t>
  </si>
  <si>
    <t>Browsings</t>
  </si>
  <si>
    <t>Rick Hanson, Richard Mendius</t>
  </si>
  <si>
    <t>Buddha's Brain: The Practical Neuroscience of Happiness, Love, and Wisdom</t>
  </si>
  <si>
    <t>Hannah Kent</t>
  </si>
  <si>
    <t>Burial Rites: A Novel</t>
  </si>
  <si>
    <t>Emily Nagoski PhD, Amelia Nagoski DMA</t>
  </si>
  <si>
    <t>Burnout: The Secret to Unlocking the Stress Cycle</t>
  </si>
  <si>
    <t>Milton Friedman, Binyamin Appelbaum</t>
  </si>
  <si>
    <t>Capitalism and Freedom</t>
  </si>
  <si>
    <t>Richard Lawless</t>
  </si>
  <si>
    <t>Capitol Hill's Criminal Underground: The Most Thorough Exploration of Government Corruption Ever Put in Writing</t>
  </si>
  <si>
    <t>Charles Bice, Thomas Moore</t>
  </si>
  <si>
    <t>Care of the Soul, Twenty-fifth Anniversary Ed: A Guide for Cultivating Depth and Sacredness in Everyday Life</t>
  </si>
  <si>
    <t>Joyce Carol Oates</t>
  </si>
  <si>
    <t>Carthage: A Novel</t>
  </si>
  <si>
    <t>David Hackett Fischer</t>
  </si>
  <si>
    <t>Champlain's Dream</t>
  </si>
  <si>
    <t>Karen Houppert</t>
  </si>
  <si>
    <t>Chasing Gideon: The Elusive Quest for Poor People's Justice</t>
  </si>
  <si>
    <t>Tom Rob Smith</t>
  </si>
  <si>
    <t>Child 44 (The Child 44 Trilogy, 1)</t>
  </si>
  <si>
    <t>Adrian Tchaikovsky</t>
  </si>
  <si>
    <t>Children of Time</t>
  </si>
  <si>
    <t>Chris Miller</t>
  </si>
  <si>
    <t>Chip War: The Fight for the World's Most Critical Technology</t>
  </si>
  <si>
    <t>Circe</t>
  </si>
  <si>
    <t>Michael Capuzzo</t>
  </si>
  <si>
    <t>Close to Shore: The Terrifying Shark Attacks of 1916</t>
  </si>
  <si>
    <t>Scott Brick, Cassandra Campbell</t>
  </si>
  <si>
    <t>Cloud Atlas (20th Anniversary Edition): A Novel</t>
  </si>
  <si>
    <t>David Mitchell</t>
  </si>
  <si>
    <t>Cloud Atlas: A Novel</t>
  </si>
  <si>
    <t>Karen Kimsey-House, Henry Kimsey-House</t>
  </si>
  <si>
    <t>Co-Active Leadership: Five Ways to Lead</t>
  </si>
  <si>
    <t>Ethan Mollick</t>
  </si>
  <si>
    <t>Co-Intelligence: Living and Working with AI</t>
  </si>
  <si>
    <t>Jorge Luis Borges, Andrew Hurley</t>
  </si>
  <si>
    <t>Collected Fictions</t>
  </si>
  <si>
    <t>Michael Hiltzik</t>
  </si>
  <si>
    <t>Colossus: The Turbulent, Thrilling Saga of the Building of Hoover Dam</t>
  </si>
  <si>
    <t>Kimberly Rae Miller</t>
  </si>
  <si>
    <t>Coming Clean</t>
  </si>
  <si>
    <t>Ann Patchett</t>
  </si>
  <si>
    <t>Commonwealth</t>
  </si>
  <si>
    <t>Janet Levine, Laurie A Selik</t>
  </si>
  <si>
    <t>Compelling Conversations for Fundraisers: Talk Your Way to Success with Donors and Funders</t>
  </si>
  <si>
    <t>Complications: A Surgeon's Notes on an Imperfect Science</t>
  </si>
  <si>
    <t>Tony Horwitz</t>
  </si>
  <si>
    <t>Confederates in the Attic: Dispatches from the Unfinished Civil War</t>
  </si>
  <si>
    <t>Conflicted: How Productive Disagreements Lead to Better Outcomes</t>
  </si>
  <si>
    <t>David E. Sanger</t>
  </si>
  <si>
    <t>Confront and Conceal: Obama's Secret Wars and Surprising Use of American Power</t>
  </si>
  <si>
    <t>Susan Blackmore</t>
  </si>
  <si>
    <t>Consciousness: A Very Short Introduction</t>
  </si>
  <si>
    <t>David Whyte</t>
  </si>
  <si>
    <t>Consolations - Revised edition: The Solace, Nourishment and Underlying Meaning of Everyday Words</t>
  </si>
  <si>
    <t>Ryan Holiday</t>
  </si>
  <si>
    <t>Conspiracy: Peter Thiel, Hulk Hogan, Gawker, and the Anatomy of Intrigue</t>
  </si>
  <si>
    <t>Jeffrey Rosen</t>
  </si>
  <si>
    <t>Constitution 3.0: Freedom and Technological Change</t>
  </si>
  <si>
    <t>Lisa Scottoline</t>
  </si>
  <si>
    <t>Corrupted: A Rosato &amp; DiNunzio Novel</t>
  </si>
  <si>
    <t>Gail Andersen Stark, Joseph Goldstein</t>
  </si>
  <si>
    <t>Creating a Life of Integrity: In Conversation with Joseph Goldstein</t>
  </si>
  <si>
    <t>Tony Wagner</t>
  </si>
  <si>
    <t>Creating Innovators: The Making of Young People Who Will Change the World</t>
  </si>
  <si>
    <t>Bruce Nussbaum</t>
  </si>
  <si>
    <t>Creative Intelligence: Harnessing the Power to Create, Connect, and Inspire – Original Insights on Problem-Solving and Business Innovation</t>
  </si>
  <si>
    <t>Ed Catmull, Amy Wallace</t>
  </si>
  <si>
    <t>Creativity, Inc.: Overcoming the Unseen Forces That Stand in the Way of True Inspiration</t>
  </si>
  <si>
    <t>Wallace Earle Stegner</t>
  </si>
  <si>
    <t>Crossing to Safety</t>
  </si>
  <si>
    <t>Bruce Holsinger, Stacy Carolan</t>
  </si>
  <si>
    <t>Culpability: A Novel</t>
  </si>
  <si>
    <t>David A. Livermore, Chap Clark</t>
  </si>
  <si>
    <t>Cultural Intelligence: Improving Your CQ to Engage Our Multicultural World (Youth, Family, and Culture)</t>
  </si>
  <si>
    <t>Seraphina Lewis</t>
  </si>
  <si>
    <t>Curiosities Revealed: Astonishing Facts for the Inquisitive Mind</t>
  </si>
  <si>
    <t>T.J. Stiles</t>
  </si>
  <si>
    <t>Custer's Trials: A Life on the Frontier of a New America</t>
  </si>
  <si>
    <t>P.W. Singer, Allan Friedman</t>
  </si>
  <si>
    <t>Cybersecurity and Cyberwar: What Everyone Needs to Know®</t>
  </si>
  <si>
    <t>Jeff Gurner, Daniel Suarez</t>
  </si>
  <si>
    <t>Daemon</t>
  </si>
  <si>
    <t>Megan Tusing, Allison Holzer</t>
  </si>
  <si>
    <t>Dare to Inspire: Sustain the Fire of Inspiration in Work and Life</t>
  </si>
  <si>
    <t>Joseph Cox</t>
  </si>
  <si>
    <t>Dark Wire: The Incredible True Story of the Largest Sting Operation Ever</t>
  </si>
  <si>
    <t>William Styron</t>
  </si>
  <si>
    <t>Darkness Visible: A Memoir of Madness</t>
  </si>
  <si>
    <t>Daniel C. Dennett</t>
  </si>
  <si>
    <t>Darwin's Dangerous Idea: Evolution and the Meanings of Life</t>
  </si>
  <si>
    <t>James McBride</t>
  </si>
  <si>
    <t>Deacon King Kong: A Novel</t>
  </si>
  <si>
    <t>Jennifer Palmieri</t>
  </si>
  <si>
    <t>Dear Madam President: An Open Letter to the Women Who Will Run the World</t>
  </si>
  <si>
    <t>Thomas Mann, Martin C. Doege</t>
  </si>
  <si>
    <t>Death in Venice</t>
  </si>
  <si>
    <t>The Three-Body Problem, book 3</t>
  </si>
  <si>
    <t>Cixin Liu, Ken Liu</t>
  </si>
  <si>
    <t xml:space="preserve">Death's End </t>
  </si>
  <si>
    <t>David Graeber</t>
  </si>
  <si>
    <t>Debt: The First 5,000 Years,Updated and Expanded</t>
  </si>
  <si>
    <t>Craig L. Symonds</t>
  </si>
  <si>
    <t>Decision at Sea: Five Naval Battles that Shaped American History</t>
  </si>
  <si>
    <t>Eric Redmond</t>
  </si>
  <si>
    <t>Deep Tech: Demystifying the Breakthrough Technologies That Will Revolutionize Everything</t>
  </si>
  <si>
    <t>William Landay</t>
  </si>
  <si>
    <t>Defending Jacob: A Novel</t>
  </si>
  <si>
    <t>Bill Burnett, Dave Evans</t>
  </si>
  <si>
    <t>Designing Your Life: How to Build a Well-Lived, Joyful Life</t>
  </si>
  <si>
    <t>Candice Millard</t>
  </si>
  <si>
    <t>Destiny of the Republic: A Tale of Madness, Medicine and the Murder of a President</t>
  </si>
  <si>
    <t>Kaleo Griffith, Robert M. Sapolsky</t>
  </si>
  <si>
    <t>Determined: A Science of Life Without Free Will</t>
  </si>
  <si>
    <t>Raymond Brunet; Graeme Macrae Burnet (Trans.)</t>
  </si>
  <si>
    <t>Disappearance Of Adele Bedeau</t>
  </si>
  <si>
    <t>Whitney Johnson</t>
  </si>
  <si>
    <t>Disrupt Yourself: Putting the Power of Disruptive Innovation to Work</t>
  </si>
  <si>
    <t>Dan Lyons</t>
  </si>
  <si>
    <t>Disrupted: My Misadventure in the Start-Up Bubble</t>
  </si>
  <si>
    <t>Melvin I. Urofsky</t>
  </si>
  <si>
    <t>Dissent and the Supreme Court: Its Role in the Court's History and the Nation's Constitutional Dialogue</t>
  </si>
  <si>
    <t>Penguin Books Ltd</t>
  </si>
  <si>
    <t>DK Eyewitness Top 10 World</t>
  </si>
  <si>
    <t>Bill Beverly</t>
  </si>
  <si>
    <t>Dodgers: A Novel</t>
  </si>
  <si>
    <t>Madeleine Thien</t>
  </si>
  <si>
    <t>Dogs at the Perimeter: A Novel</t>
  </si>
  <si>
    <t>Preet Bharara</t>
  </si>
  <si>
    <t>Doing Justice: A Prosecutor's Thoughts on Crime, Punishment, and the Rule of Law</t>
  </si>
  <si>
    <t>Dan Ariely, Jeff Kreisler</t>
  </si>
  <si>
    <t>Dollars and Sense: How We Misthink Money and How to Spend Smarter</t>
  </si>
  <si>
    <t>Benjamin Dreyer</t>
  </si>
  <si>
    <t>Dreyer's English: An Utterly Correct Guide to Clarity and Style</t>
  </si>
  <si>
    <t>Doing Less</t>
  </si>
  <si>
    <t>Drop the Ball: Achieving More</t>
  </si>
  <si>
    <t>Lucy Ellmann</t>
  </si>
  <si>
    <t>Ducks, Newburyport</t>
  </si>
  <si>
    <t>Matt Dinniman</t>
  </si>
  <si>
    <t>Dungeon Crawler Carl</t>
  </si>
  <si>
    <t>Jonathan M. Metzl</t>
  </si>
  <si>
    <t>Dying of Whiteness: How the Politics of Racial Resentment Is Killing America's Heartland</t>
  </si>
  <si>
    <t>Barbara Demick</t>
  </si>
  <si>
    <t>Eat the Buddha: Life and Death in a Tibetan Town</t>
  </si>
  <si>
    <t>Sara Driscoll</t>
  </si>
  <si>
    <t>Echoes of Memory</t>
  </si>
  <si>
    <t>S. M. Hulse</t>
  </si>
  <si>
    <t>Eden Mine: A Novel</t>
  </si>
  <si>
    <t>Katharine Esty</t>
  </si>
  <si>
    <t>Eightysomethings: A Practical Guide to Letting Go, Aging Well, and Finding Unexpected Happiness</t>
  </si>
  <si>
    <t>Einstein: His Life and Universe</t>
  </si>
  <si>
    <t>Rainbow Rowell</t>
  </si>
  <si>
    <t>Eleanor &amp; Park</t>
  </si>
  <si>
    <t>Susan David</t>
  </si>
  <si>
    <t>Emotional Agility: Get Unstuck, Embrace Change, and Thrive in Work and Life</t>
  </si>
  <si>
    <t>Mary Beard</t>
  </si>
  <si>
    <t>Emperor of Rome: Ruling the Ancient World</t>
  </si>
  <si>
    <t>S. C. Gwynne</t>
  </si>
  <si>
    <t>Empire of the Summer Moon: Quanah Parker and the Rise and Fall of the Comanches, the Most Powerful Indian Tribe in American History</t>
  </si>
  <si>
    <t>Alexander Rose</t>
  </si>
  <si>
    <t>Empires of the Sky: Zeppelins, Airplanes, and Two Men's Epic Duel to Rule the World</t>
  </si>
  <si>
    <t>Bruce D Schneider</t>
  </si>
  <si>
    <t>Energy Leadership: The 7 Level Framework for Mastery In Life and Business</t>
  </si>
  <si>
    <t>Steven Pinker</t>
  </si>
  <si>
    <t>Enlightenment Now: The Case for Reason, Science, Humanism, and Progress</t>
  </si>
  <si>
    <t>Jeffrey Bussgang</t>
  </si>
  <si>
    <t>Entering StartUpLand: An Essential Guide to Finding the Right Job</t>
  </si>
  <si>
    <t>George Steiner</t>
  </si>
  <si>
    <t>Errata: An Examined Life</t>
  </si>
  <si>
    <t>B. McGraw</t>
  </si>
  <si>
    <t>Et al: Because not all research deserves a Nobel Prize</t>
  </si>
  <si>
    <t>Barton Welch, Benjamin Stevenson</t>
  </si>
  <si>
    <t>Everyone in My Family Has Killed Someone: A Novel</t>
  </si>
  <si>
    <t>John Green, Listening Library</t>
  </si>
  <si>
    <t>Everything Is Tuberculosis: The History and Persistence of Our Deadliest Infection</t>
  </si>
  <si>
    <t>Matthew Desmond</t>
  </si>
  <si>
    <t>Evicted: Poverty and Profit in the American City</t>
  </si>
  <si>
    <t>Jill Hedges</t>
  </si>
  <si>
    <t>Evita: The Life of Eva Perón</t>
  </si>
  <si>
    <t>Ansel Adams</t>
  </si>
  <si>
    <t>Examples: The Making of 40 Photographs</t>
  </si>
  <si>
    <t>Mason Coile</t>
  </si>
  <si>
    <t>Irvin D. Yalom</t>
  </si>
  <si>
    <t>Existential Psychotherapy</t>
  </si>
  <si>
    <t>Leon Uris</t>
  </si>
  <si>
    <t>Exodus: A Novel of Israel</t>
  </si>
  <si>
    <t>Jonathan Safran Foer</t>
  </si>
  <si>
    <t>Extremely Loud And Incredibly Close: A Novel</t>
  </si>
  <si>
    <t>Eyes of the Void (The Final Architecture Book 2)</t>
  </si>
  <si>
    <t>Hans Rosling, Anna Rosling Rönnlund</t>
  </si>
  <si>
    <t>Factfulness: Ten Reasons We're Wrong About the World--and Why Things Are Better Than You Think</t>
  </si>
  <si>
    <t>Stephen King</t>
  </si>
  <si>
    <t>Fairy Tale</t>
  </si>
  <si>
    <t>Miriam Toews</t>
  </si>
  <si>
    <t>Fight Night</t>
  </si>
  <si>
    <t>James P. Carse</t>
  </si>
  <si>
    <t>Finite and Infinite Games</t>
  </si>
  <si>
    <t>Nancy Lusignan Schultz</t>
  </si>
  <si>
    <t>Fire and Roses: The Burning of the Charlestown Convent, 1834</t>
  </si>
  <si>
    <t>Michael Lewis</t>
  </si>
  <si>
    <t>Flash Boys: A Wall Street Revolt</t>
  </si>
  <si>
    <t>Barbara Kingsolver</t>
  </si>
  <si>
    <t>Flight Behavior: A Novel</t>
  </si>
  <si>
    <t>Silvina Ocampo, Suzanne Jill Levine</t>
  </si>
  <si>
    <t>Forgotten Journey</t>
  </si>
  <si>
    <t>Joseph J. Ellis</t>
  </si>
  <si>
    <t>Founding Brothers: The Revolutionary Generation</t>
  </si>
  <si>
    <t>Amy Banks, Leigh Ann Hirschman</t>
  </si>
  <si>
    <t>Four Ways to Click: Rewire Your Brain for Stronger, More Rewarding Relationships</t>
  </si>
  <si>
    <t>Vanessa Johansson, Howard Gardner</t>
  </si>
  <si>
    <t>Frames of Mind: The Theory of Multiple Intelligences</t>
  </si>
  <si>
    <t>From Bacteria to Bach and Back: The Evolution of Minds</t>
  </si>
  <si>
    <t>Arthur C. Brooks</t>
  </si>
  <si>
    <t>From Strength to Strength: Finding Success, Happiness, and Deep Purpose in the Second Half of Life</t>
  </si>
  <si>
    <t>Jon Kabat-Zinn, Thich Nhat Hanh</t>
  </si>
  <si>
    <t>Full Catastrophe Living: Using the Wisdom of Your Body and Mind to Face Stress, Pain, and Illness</t>
  </si>
  <si>
    <t>Casey Cep</t>
  </si>
  <si>
    <t>Furious Hours: Murder, Fraud, and the Last Trial of Harper Lee (Random House Large Print)</t>
  </si>
  <si>
    <t>Mary Roach</t>
  </si>
  <si>
    <t>Fuzz: When Nature Breaks the Law</t>
  </si>
  <si>
    <t>Talia Hibbert</t>
  </si>
  <si>
    <t>Get a Life, Chloe Brown: A Novel (The Brown Sisters, 1)</t>
  </si>
  <si>
    <t>Ph.D. Susan Campbell</t>
  </si>
  <si>
    <t>Getting Real: 10 Truth Skills You Need to Live an Authentic Life</t>
  </si>
  <si>
    <t>Jack White Novels</t>
  </si>
  <si>
    <t>Roger Hobbs</t>
  </si>
  <si>
    <t>Ghostman</t>
  </si>
  <si>
    <t>Victor J. Stenger, David Smalley</t>
  </si>
  <si>
    <t>God - the Failed Hypothesis: How Science Shows That God Does Not Exist</t>
  </si>
  <si>
    <t>Nylsa Smallwood, Jacqueline Jones</t>
  </si>
  <si>
    <t>Goddess of Anarchy: : The Life and Times of Lucy Parsons, American Radical</t>
  </si>
  <si>
    <t>Ernest Nagel, James Newman</t>
  </si>
  <si>
    <t>Gödel's Proof</t>
  </si>
  <si>
    <t>T L Bequette</t>
  </si>
  <si>
    <t>Good Lookin': A Joe Turner Mystery</t>
  </si>
  <si>
    <t>David Finkel</t>
  </si>
  <si>
    <t>Good Soldiers, The</t>
  </si>
  <si>
    <t>Cody Keenan</t>
  </si>
  <si>
    <t>Grace: President Obama and Ten Days in the Battle for America</t>
  </si>
  <si>
    <t>Zadie Smith</t>
  </si>
  <si>
    <t>Grand Union: Stories</t>
  </si>
  <si>
    <t>Maggie Shipstead</t>
  </si>
  <si>
    <t>Great Circle: A Read with Jenna Pick: A Novel (Man Booker Prize Finalist)</t>
  </si>
  <si>
    <t>E. Joe Johnson PhD., Giuseppe Baiguera</t>
  </si>
  <si>
    <t>Great Naval Battles of the Twentieth Century: Tsushima, Jutland, Midway</t>
  </si>
  <si>
    <t>Angela Duckworth</t>
  </si>
  <si>
    <t>Grit: The Power of Passion and Perseverance</t>
  </si>
  <si>
    <t>Ken Honda</t>
  </si>
  <si>
    <t>Happy Money: The Japanese Art of Making Peace with Your Money</t>
  </si>
  <si>
    <t>Derren Brown</t>
  </si>
  <si>
    <t>Happy: Why More or Less Everything Is Fine</t>
  </si>
  <si>
    <t>Philip Warburg</t>
  </si>
  <si>
    <t>Harness the Sun: America's Quest for a Solar-Powered Future</t>
  </si>
  <si>
    <t>T. J. English</t>
  </si>
  <si>
    <t>Havana Nocturne: How the Mob Owned Cuba and Then Lost It to the Revolution</t>
  </si>
  <si>
    <t>Rita Bullwinkel</t>
  </si>
  <si>
    <t>Headshot: A Novel</t>
  </si>
  <si>
    <t>Heart-Shaped Box</t>
  </si>
  <si>
    <t>Timothy Zahn</t>
  </si>
  <si>
    <t>Heir to the Empire: Star Wars Legends (The Thrawn Trilogy) (Star Wars: The Thrawn Trilogy Book 1)</t>
  </si>
  <si>
    <t>Edgar H. Schein</t>
  </si>
  <si>
    <t>Helping: How to Offer, Give, and Receive Help</t>
  </si>
  <si>
    <t>Michael Schulman</t>
  </si>
  <si>
    <t>Her Again: Becoming Meryl Streep</t>
  </si>
  <si>
    <t>Clay Shirky</t>
  </si>
  <si>
    <t>Here Comes Everybody: The Power of Organizing Without Organizations</t>
  </si>
  <si>
    <t>Kellyanne Conway</t>
  </si>
  <si>
    <t>Here’s the Deal</t>
  </si>
  <si>
    <t>Sean Pratt, Robert Kolker</t>
  </si>
  <si>
    <t>Hidden Valley Road: Inside the Mind of an American Family</t>
  </si>
  <si>
    <t>J. D. Vance</t>
  </si>
  <si>
    <t>Hillbilly Elegy: A Memoir of a Family and Culture in Crisis – Vice President J.D. Vance's #1 New York Times Bestselling Account of White Working-Class America</t>
  </si>
  <si>
    <t>Graeme MaCrae Burnet</t>
  </si>
  <si>
    <t>His Bloody Project: Documents Relating to the Case of Roderick Macrae (Man Booker Prize Finalist 2016)</t>
  </si>
  <si>
    <t>David Hackett Fischer (Perfect Paperback) |</t>
  </si>
  <si>
    <t>Historians' Fallacies : Toward a Logic of Historical Thought</t>
  </si>
  <si>
    <t>Marion Wallace</t>
  </si>
  <si>
    <t>History of Namibia: From the Beginning to 1990</t>
  </si>
  <si>
    <t>David Simon</t>
  </si>
  <si>
    <t>Homicide: A Year on the Killing Streets</t>
  </si>
  <si>
    <t>Yuval Noah Harari</t>
  </si>
  <si>
    <t>Homo Deus: A Brief History of Tomorrow</t>
  </si>
  <si>
    <t>Johan Huizinga, Scott R. Pollak</t>
  </si>
  <si>
    <t>Homo Ludens: A Study of the Play-Element in Culture</t>
  </si>
  <si>
    <t>Edith Pearlman</t>
  </si>
  <si>
    <t>Honeydew</t>
  </si>
  <si>
    <t>Atif Mian, Amir Sufi</t>
  </si>
  <si>
    <t>House of Debt: How They (and You) Caused the Great Recession, and How We Can Prevent It from Happening Again</t>
  </si>
  <si>
    <t>Sarah J. Maas</t>
  </si>
  <si>
    <t>House of Earth and Blood (Crescent City Book 1)</t>
  </si>
  <si>
    <t>Paul Tough</t>
  </si>
  <si>
    <t>How Children Succeed: Grit, Curiosity, and the Hidden Power of Character</t>
  </si>
  <si>
    <t>Michael Koryta</t>
  </si>
  <si>
    <t>How It Happened</t>
  </si>
  <si>
    <t>Paul A. Kirschner, Carl Hendrick</t>
  </si>
  <si>
    <t>How Learning Happens: Seminal Works in Educational Psychology and What They Mean in Practice</t>
  </si>
  <si>
    <t>Robert Skidelsky, Edward Skidelsky</t>
  </si>
  <si>
    <t>How Much is Enough?: Money and the Good Life</t>
  </si>
  <si>
    <t>Jordan Ellenberg</t>
  </si>
  <si>
    <t>How Not to Be Wrong: The Power of Mathematical Thinking</t>
  </si>
  <si>
    <t>How the Mind Works</t>
  </si>
  <si>
    <t>Mark Koyama, Jared Rubin</t>
  </si>
  <si>
    <t>How the World Became Rich: The Historical Origins of Economic Growth</t>
  </si>
  <si>
    <t>Michael Pollan</t>
  </si>
  <si>
    <t>How to Change Your Mind: What the New Science of Psychedelics Teaches Us About Consciousness, Dying, Addiction, Depression, and Transcendence</t>
  </si>
  <si>
    <t>Peter Boghossian, James Lindsay</t>
  </si>
  <si>
    <t>How to Have Impossible Conversations: A Very Practical Guide</t>
  </si>
  <si>
    <t>Daniel Immerwahr</t>
  </si>
  <si>
    <t>How to Hide an Empire: A History of the Greater United States</t>
  </si>
  <si>
    <t>Barbara Waxman</t>
  </si>
  <si>
    <t>How to Love Your Retirement: The Guide to the Best of Your Life (Hundreds of Heads Survival Guides)</t>
  </si>
  <si>
    <t>Mortimer J. Adler, Charles Van Doren</t>
  </si>
  <si>
    <t>How to Read a Book: The Classic Guide to Intelligent Reading</t>
  </si>
  <si>
    <t>Ernie J Zelinski</t>
  </si>
  <si>
    <t>How to Retire Happy, Wild, and Free: Retirement Wisdom That You Won't Get from Your Financial Advisor</t>
  </si>
  <si>
    <t>Sherwin B. Nuland</t>
  </si>
  <si>
    <t>How We Die: Reflections on Life's Final Chapter, New Edition (National Book Award Winner)</t>
  </si>
  <si>
    <t>Stuart Russell</t>
  </si>
  <si>
    <t>Human Compatible: Artificial Intelligence and the Problem of Control</t>
  </si>
  <si>
    <t>Isaac Asimov</t>
  </si>
  <si>
    <t>I, Robot</t>
  </si>
  <si>
    <t>Janelle Brown</t>
  </si>
  <si>
    <t>I'll Be You: A Novel</t>
  </si>
  <si>
    <t>Robert Kegan, Lisa Laskow Lahey</t>
  </si>
  <si>
    <t>Immunity to Change (Leadership for the Common Good)</t>
  </si>
  <si>
    <t>David Ehrlichman</t>
  </si>
  <si>
    <t>Impact Networks: Create Connection, Spark Collaboration, and Catalyze Systemic Change</t>
  </si>
  <si>
    <t>Ruth Ware</t>
  </si>
  <si>
    <t>In a Dark, Dark Wood</t>
  </si>
  <si>
    <t>Ramachandra Guha</t>
  </si>
  <si>
    <t>India After Gandhi: The History of the World's Largest Democracy</t>
  </si>
  <si>
    <t>Kathy Peiss</t>
  </si>
  <si>
    <t>Information Hunters: When Librarians, Soldiers, and Spies Banded Together in World War II Europe</t>
  </si>
  <si>
    <t>Marty Cagan</t>
  </si>
  <si>
    <t>Inspired: How to Create Tech Products Customers Love</t>
  </si>
  <si>
    <t>Meghan O'Gieblyn</t>
  </si>
  <si>
    <t>Interior States: Essays</t>
  </si>
  <si>
    <t>Jhumpa Lahiri, Janet Silver</t>
  </si>
  <si>
    <t>Interpreter of Maladies</t>
  </si>
  <si>
    <t>Caroline Criado Perez</t>
  </si>
  <si>
    <t>Invisible Women: Data Bias in a World Designed for Men</t>
  </si>
  <si>
    <t>Cork O'Connor Mystery Series</t>
  </si>
  <si>
    <t>William Kent Krueger</t>
  </si>
  <si>
    <t>Iron Lake: A Novel</t>
  </si>
  <si>
    <t>Stuart Stevens</t>
  </si>
  <si>
    <t>It Was All a Lie: How the Republican Party Became Donald Trump</t>
  </si>
  <si>
    <t>Thomas E. Mann, Norman J. Ornstein</t>
  </si>
  <si>
    <t>It's Even Worse Than It Looks: How the American Constitutional System Collided With the New Politics of Extremism</t>
  </si>
  <si>
    <t>Richard Perry, Jeff Schreifels</t>
  </si>
  <si>
    <t>It's NOT JUST about the Money</t>
  </si>
  <si>
    <t>Percival Everett</t>
  </si>
  <si>
    <t>Simon Sebag Montefiore</t>
  </si>
  <si>
    <t>Jerusalem: The Biography</t>
  </si>
  <si>
    <t>Elliot W Carlson, Donald M Showers USN (Ret.)</t>
  </si>
  <si>
    <t>Joe Rochefort's War: The Odyssey of the Codebreaker Who Outwitted Yamamoto at Midway</t>
  </si>
  <si>
    <t>Charles D. Ellis, Joel M. Podolny</t>
  </si>
  <si>
    <t>Joe Wilson and the Creation of Xerox</t>
  </si>
  <si>
    <t>John &amp; Paul: A Love Story in Songs</t>
  </si>
  <si>
    <t>Susanna Clarke</t>
  </si>
  <si>
    <t>Jonathan Strange &amp; Mr. Norrell: A Novel</t>
  </si>
  <si>
    <t>Joyland</t>
  </si>
  <si>
    <t>Patti Smith</t>
  </si>
  <si>
    <t>Just Kids</t>
  </si>
  <si>
    <t>Anja Shortland</t>
  </si>
  <si>
    <t>Kidnap: Inside the Ransom Business</t>
  </si>
  <si>
    <t>Stephanie Cannon, Steve Cavanagh</t>
  </si>
  <si>
    <t>Kill for Me, Kill for You: A Novel</t>
  </si>
  <si>
    <t>David Grann</t>
  </si>
  <si>
    <t>Killers of the Flower Moon: The Osage Murders and the Birth of the FBI</t>
  </si>
  <si>
    <t>Dan Ephron</t>
  </si>
  <si>
    <t>Killing a King: The Assassination of Yitzhak Rabin and the Remaking of Israel</t>
  </si>
  <si>
    <t>Jonathan Eig</t>
  </si>
  <si>
    <t>King: A Life</t>
  </si>
  <si>
    <t>Sonia Purnell</t>
  </si>
  <si>
    <t>Kingmaker: Pamela Harriman's Astonishing Life of Power, Seduction, and Intrigue</t>
  </si>
  <si>
    <t>Kazuo Ishiguro</t>
  </si>
  <si>
    <t>Klara and the Sun: A GMA Book Club Pick: A novel</t>
  </si>
  <si>
    <t>Hope Jahren, Random House Audio</t>
  </si>
  <si>
    <t>Lab Girl: A Memoir</t>
  </si>
  <si>
    <t>Dahlia Lithwick</t>
  </si>
  <si>
    <t>Lady Justice: Women, the Law, and the Battle to Save America</t>
  </si>
  <si>
    <t>Louise Erdrich</t>
  </si>
  <si>
    <t>LaRose: A Novel</t>
  </si>
  <si>
    <t>Helen Zia</t>
  </si>
  <si>
    <t>Last Boat Out of Shanghai: The Epic Story of the Chinese Who Fled Mao's Revolution</t>
  </si>
  <si>
    <t>Lawrence in Arabia: War, Deceit, Imperial Folly and the Making of the Modern Middle East</t>
  </si>
  <si>
    <t>Lawrence in Arabia: War, Deceit, Imperial Folly and the Making of the Modern Middle East (ALA Notable Books for Adults)</t>
  </si>
  <si>
    <t>James MacGregor Burns</t>
  </si>
  <si>
    <t>Leadership</t>
  </si>
  <si>
    <t>Lyle Kirtman</t>
  </si>
  <si>
    <t>Leadership and Teams: The Missing Piece of the Educational Reform Puzzle</t>
  </si>
  <si>
    <t>Nicolai Nielsen</t>
  </si>
  <si>
    <t>Leadership at Scale: Better leadership, better results</t>
  </si>
  <si>
    <t>Jocko Willink</t>
  </si>
  <si>
    <t>Leadership Strategy and Tactics: Field Manual Expanded Edition</t>
  </si>
  <si>
    <t>Leadership: In Turbulent Times</t>
  </si>
  <si>
    <t>Rob Salafia</t>
  </si>
  <si>
    <t>Leading from Your Best Self: Develop Executive Poise, Presence, and Influence to Maximize Your Potential</t>
  </si>
  <si>
    <t>William F. Baker, Michael O'Malley</t>
  </si>
  <si>
    <t>Leading With Kindness: How Good People Consistently Get Superior Results</t>
  </si>
  <si>
    <t>Alexandra Fuller</t>
  </si>
  <si>
    <t>Leaving Before the Rains Come</t>
  </si>
  <si>
    <t>Matthew Ward</t>
  </si>
  <si>
    <t>Legacy of Ash (The Legacy Trilogy Book 1)</t>
  </si>
  <si>
    <t>Scott J. Shapiro</t>
  </si>
  <si>
    <t>Legality</t>
  </si>
  <si>
    <t>William Safire</t>
  </si>
  <si>
    <t>Lend Me Your Ears: Great Speeches in History</t>
  </si>
  <si>
    <t>Leonardo da Vinci</t>
  </si>
  <si>
    <t>Andrew Sean Greer</t>
  </si>
  <si>
    <t>Less: A Novel (The Arthur Books, 1)</t>
  </si>
  <si>
    <t>Miranda Raison, Bonnie Garmus</t>
  </si>
  <si>
    <t>Lessons in Chemistry: A Novel</t>
  </si>
  <si>
    <t>Jenny Lawson</t>
  </si>
  <si>
    <t>Let's Pretend This Never Happened: A Mostly True Memoir</t>
  </si>
  <si>
    <t>Andrew Carroll</t>
  </si>
  <si>
    <t>Letters of a Nation</t>
  </si>
  <si>
    <t>Leviathan Wakes</t>
  </si>
  <si>
    <t>Jeff Kosseff</t>
  </si>
  <si>
    <t>Liar in a Crowded Theater: Freedom of Speech in a World of Misinformation</t>
  </si>
  <si>
    <t>Liar's Poker</t>
  </si>
  <si>
    <t>Kate Atkinson</t>
  </si>
  <si>
    <t>Life After Life: A Novel</t>
  </si>
  <si>
    <t>Susan Beth Pfeffer</t>
  </si>
  <si>
    <t>Life as We Knew It (Life As We Knew It Series, 1)</t>
  </si>
  <si>
    <t>Shigehiro Oishi PhD</t>
  </si>
  <si>
    <t>Life in Three Dimensions: How Curiosity, Exploration, and Experience Make a Fuller, Better Life</t>
  </si>
  <si>
    <t>Bruce Feiler</t>
  </si>
  <si>
    <t>Life Is in the Transitions: Mastering Change at Any Age</t>
  </si>
  <si>
    <t>George Saunders</t>
  </si>
  <si>
    <t>Lincoln in the Bardo: A Novel</t>
  </si>
  <si>
    <t>David Fisher, Dan Abrams</t>
  </si>
  <si>
    <t>Lincoln's Last Trial: The Murder Case That Propelled Him to the Presidency</t>
  </si>
  <si>
    <t>Roxanne Dunbar-Ortiz</t>
  </si>
  <si>
    <t>Loaded: A Disarming History of the Second Amendment (City Lights Open Media)</t>
  </si>
  <si>
    <t>Lock In: A Novel of the Near Future</t>
  </si>
  <si>
    <t>Tali Sharot, Cass R. Sunstein</t>
  </si>
  <si>
    <t>Look Again: The Power of Noticing What Was Always There</t>
  </si>
  <si>
    <t>Safi Bahcall, William Dufris</t>
  </si>
  <si>
    <t>Loonshots: How to Nurture the Crazy Ideas That Win Wars, Cure Diseases, and Transform Industries</t>
  </si>
  <si>
    <t>Thomas DeBaggio</t>
  </si>
  <si>
    <t>Losing My Mind: An Intimate Look at Life with Alzheimer's</t>
  </si>
  <si>
    <t>Lost Art: The Art Loss Register Casebook Volume One</t>
  </si>
  <si>
    <t>Valeria Luiselli</t>
  </si>
  <si>
    <t>Lost Children Archive: A novel</t>
  </si>
  <si>
    <t>Julie Berry</t>
  </si>
  <si>
    <t>Byron Katie, Stephen Mitchell</t>
  </si>
  <si>
    <t>Loving What Is: Four Questions That Can Change Your Life</t>
  </si>
  <si>
    <t>Sam Harris, Annaka Harris</t>
  </si>
  <si>
    <t>Lying</t>
  </si>
  <si>
    <t>Margaret Atwood</t>
  </si>
  <si>
    <t>MaddAddam: A Novel</t>
  </si>
  <si>
    <t>Chip Heath, Dan Heath</t>
  </si>
  <si>
    <t>Made to Stick: Why Some Ideas Survive and Others Die</t>
  </si>
  <si>
    <t>Chris Frith</t>
  </si>
  <si>
    <t>Making up the Mind: How the Brain Creates Our Mental World</t>
  </si>
  <si>
    <t>William Stevenson</t>
  </si>
  <si>
    <t>Man Called Intrepid: The Incredible WWII Narrative Of The Hero Whose Spy Network And Secret Diplomacy Changed The Course Of History</t>
  </si>
  <si>
    <t>Manhattan Beach: A Novel</t>
  </si>
  <si>
    <t>Jacqueline Novogratz</t>
  </si>
  <si>
    <t>Manifesto for a Moral Revolution: Practices to Build a Better World</t>
  </si>
  <si>
    <t>Robert J. Anderson, William A. Adams</t>
  </si>
  <si>
    <t>Mastering Leadership: An Integrated Framework for Breakthrough Performance and Extraordinary Business Results</t>
  </si>
  <si>
    <t>Esther Perel</t>
  </si>
  <si>
    <t>Mating in Captivity: Unlocking Erotic Intelligence</t>
  </si>
  <si>
    <t>La Rochefoucauld, Leonard Tancock</t>
  </si>
  <si>
    <t>Maxims</t>
  </si>
  <si>
    <t>Jojo Moyes</t>
  </si>
  <si>
    <t>Me Before You</t>
  </si>
  <si>
    <t>Ijeoma Oluo</t>
  </si>
  <si>
    <t>Mediocre: The Dangerous Legacy of White Male America</t>
  </si>
  <si>
    <t>De Hamel Christophe</t>
  </si>
  <si>
    <t>Meetings with remarkable manuscripts</t>
  </si>
  <si>
    <t>Kirby Heyborne, Haruki Murakami</t>
  </si>
  <si>
    <t>Men Without Women: Stories</t>
  </si>
  <si>
    <t>Jill Abramson</t>
  </si>
  <si>
    <t>Merchants of Truth: The Business of News and the Fight for Facts</t>
  </si>
  <si>
    <t>Clint Watts</t>
  </si>
  <si>
    <t>Messing with the Enemy: Surviving in a Social Media World of Hackers, Terrorists, Russians, and Fake News</t>
  </si>
  <si>
    <t>Christine Coulson</t>
  </si>
  <si>
    <t>Metropolitan Stories: A Novel</t>
  </si>
  <si>
    <t>George Eliot</t>
  </si>
  <si>
    <t>Middlemarch (Grapevine Press)</t>
  </si>
  <si>
    <t>Mark Harris</t>
  </si>
  <si>
    <t>Mike Nichols: A Life</t>
  </si>
  <si>
    <t>Dawson Church, Dr. Joe Dispenza</t>
  </si>
  <si>
    <t>Mind to Matter: The Astonishing Science of How Your Brain Creates Material Reality</t>
  </si>
  <si>
    <t>Joseph Goldstein</t>
  </si>
  <si>
    <t>Mindfulness: A Practical Guide to Awakening</t>
  </si>
  <si>
    <t>Aaron Wolfe</t>
  </si>
  <si>
    <t>Mindfulness: Peace in the Present Moment, Relief from Stress, Anxiety and Worry for Beginners (Mediation, Finding Peace, Present Movement, Mindfulness for Beginners, Mindfulness Guide, Relaxation)</t>
  </si>
  <si>
    <t>Alan Furst</t>
  </si>
  <si>
    <t>Mission to Paris: A Novel</t>
  </si>
  <si>
    <t>Aziz Ansari, Eric Klinenberg</t>
  </si>
  <si>
    <t>Modern Romance</t>
  </si>
  <si>
    <t>Moneyball</t>
  </si>
  <si>
    <t>R. Marie Griffith</t>
  </si>
  <si>
    <t>Moral Combat: How Sex Divided American Christians and Fractured American Politics</t>
  </si>
  <si>
    <t>Christopher Boehm</t>
  </si>
  <si>
    <t>Moral Origins: The Evolution of Virtue, Altruism, and Shame</t>
  </si>
  <si>
    <t>David Grossman, Jessica Cohen</t>
  </si>
  <si>
    <t>More Than I Love My Life: A novel</t>
  </si>
  <si>
    <t>Norman Rush</t>
  </si>
  <si>
    <t>Mortals</t>
  </si>
  <si>
    <t>Steve Sheinkin</t>
  </si>
  <si>
    <t>Most Dangerous: Daniel Ellsberg and the Secret History of the Vietnam War (National Book Award Finalist)</t>
  </si>
  <si>
    <t>Justin Kaplan</t>
  </si>
  <si>
    <t>Mr. Clemens and Mark Twain: A Biography</t>
  </si>
  <si>
    <t>Fiona Hill</t>
  </si>
  <si>
    <t>Mr. Putin: Operative in the Kremlin (Geopolitics in the 21st Century)</t>
  </si>
  <si>
    <t>Liz Wiseman, Greg Mckeown</t>
  </si>
  <si>
    <t>Multipliers: How the Best Leaders Make Everyone Smarter</t>
  </si>
  <si>
    <t>Tor Mesoy, Yan Liu</t>
  </si>
  <si>
    <t>Musings on Leadership: Life lessons to help you thrive as a leader</t>
  </si>
  <si>
    <t>Elena Ferrante, Ann Goldstein</t>
  </si>
  <si>
    <t>My Friends: A Novel</t>
  </si>
  <si>
    <t>Hisham Matar</t>
  </si>
  <si>
    <t>Ari Shavit</t>
  </si>
  <si>
    <t>My Promised Land: The Triumph and Tragedy of Israel</t>
  </si>
  <si>
    <t>David James Duncan</t>
  </si>
  <si>
    <t>My Story as Told by Water</t>
  </si>
  <si>
    <t>Martha Hall Kelly</t>
  </si>
  <si>
    <t>Naomi's Gift (A Point in Time collection)</t>
  </si>
  <si>
    <t>Scott Hershovitz</t>
  </si>
  <si>
    <t>Nasty, Brutish, and Short: Adventures in Philosophy with My Kids</t>
  </si>
  <si>
    <t>Sprawl Trilogy Book 1</t>
  </si>
  <si>
    <t>Neuromancer</t>
  </si>
  <si>
    <t>Keith Ferrazzi, Tahl Raz</t>
  </si>
  <si>
    <t>Never Eat Alone, Expanded and Updated: And Other Secrets to Success, One Relationship at a Time</t>
  </si>
  <si>
    <t>Michael Kramer, Chris Voss</t>
  </si>
  <si>
    <t>Never Split the Difference: Negotiating as if Your Life Depended on It</t>
  </si>
  <si>
    <t>Chris Voss, Tahl Raz</t>
  </si>
  <si>
    <t>Never Split the Difference: Negotiating As If Your Life Depended On It―Unlock Your Persuasion Potential in Professional and Personal Life</t>
  </si>
  <si>
    <t>Ken Follett</t>
  </si>
  <si>
    <t>Never: A Novel</t>
  </si>
  <si>
    <t>Paulette Jiles</t>
  </si>
  <si>
    <t>News of the World</t>
  </si>
  <si>
    <t>Johnny Anonymous</t>
  </si>
  <si>
    <t>NFL Confidential: True Confessions from the Gutter of Football</t>
  </si>
  <si>
    <t>Elie Wiesel, Marion Wiesel</t>
  </si>
  <si>
    <t>Night</t>
  </si>
  <si>
    <t>Nine Black Robes: Inside the Supreme Court's Drive to the Right and Its Historic Consequences</t>
  </si>
  <si>
    <t>Kat Rosenfield</t>
  </si>
  <si>
    <t>No One Will Miss Her: A Novel</t>
  </si>
  <si>
    <t>Daniel Kahneman, Olivier Sibony</t>
  </si>
  <si>
    <t>Noise: A Flaw in Human Judgment</t>
  </si>
  <si>
    <t>Marshall B. Rosenberg PhD, Deepak Chopra</t>
  </si>
  <si>
    <t>Nonviolent Communication: A Language of Life: Life-Changing Tools for Healthy Relationships (Nonviolent Communication Guides)</t>
  </si>
  <si>
    <t>Sally Rooney</t>
  </si>
  <si>
    <t>Normal People: A Novel</t>
  </si>
  <si>
    <t>Daniel Mason</t>
  </si>
  <si>
    <t>North Woods: A Novel</t>
  </si>
  <si>
    <t>NOS4A2: A Novel</t>
  </si>
  <si>
    <t>Detective Superintendent Roy Grace</t>
  </si>
  <si>
    <t>Peter James</t>
  </si>
  <si>
    <t>Not Dead Yet</t>
  </si>
  <si>
    <t>Notes on Grief</t>
  </si>
  <si>
    <t>Stephen Markley</t>
  </si>
  <si>
    <t>Ohio</t>
  </si>
  <si>
    <t>Nate Silver</t>
  </si>
  <si>
    <t>On the Edge: The Art of Risking Everything</t>
  </si>
  <si>
    <t>Timothy Snyder</t>
  </si>
  <si>
    <t>On Tyranny: Twenty Lessons from the Twentieth Century</t>
  </si>
  <si>
    <t>William Zinsser</t>
  </si>
  <si>
    <t>On Writing Well: The Essential Guide to Mastering Nonfiction Writing and Effective Communication</t>
  </si>
  <si>
    <t>Brian Doyle, David James Duncan</t>
  </si>
  <si>
    <t>One Long River of Song: Notes on Wonder</t>
  </si>
  <si>
    <t>Malcolm Hillgartner, E. B. White</t>
  </si>
  <si>
    <t>One Man's Meat</t>
  </si>
  <si>
    <t>B. J. Novak</t>
  </si>
  <si>
    <t>One More Thing: Stories and Other Stories</t>
  </si>
  <si>
    <t>One Summer: America, 1927</t>
  </si>
  <si>
    <t>Ordinary Grace</t>
  </si>
  <si>
    <t>David Christian</t>
  </si>
  <si>
    <t>Origin Story: A Big History of Everything</t>
  </si>
  <si>
    <t>Adam Grant, Sheryl Sandberg</t>
  </si>
  <si>
    <t>Originals: How Non-Conformists Move the World</t>
  </si>
  <si>
    <t>George Packer</t>
  </si>
  <si>
    <t>Our Man: Richard Holbrooke and the End of the American Century</t>
  </si>
  <si>
    <t>Charles Dickens, Adrian Poole</t>
  </si>
  <si>
    <t>Our Mutual Friend</t>
  </si>
  <si>
    <t>Peter Attia MD, Bill Gifford</t>
  </si>
  <si>
    <t>Outlive: The Science and Art of Longevity</t>
  </si>
  <si>
    <t>T.C. Boyle</t>
  </si>
  <si>
    <t>Outside Looking In: A Provocative Novel of Timothy Leary's Harvard LSD Experiments and Sixties Drug Culture</t>
  </si>
  <si>
    <t>Dr. Lisa Orbé-Austin, Dr. Richard Orbé-Austin</t>
  </si>
  <si>
    <t>Own Your Greatness: Overcome Impostor Syndrome, Beat Self-Doubt, and Succeed in Life</t>
  </si>
  <si>
    <t>Xe Sands, Amishi P. Jha</t>
  </si>
  <si>
    <t>Peak Mind: Find Your Focus, Own Your Attention, Invest 12 Minutes a Day</t>
  </si>
  <si>
    <t>Paulo Freire, Myra Bergman Ramos</t>
  </si>
  <si>
    <t>Pedagogy of the Oppressed, 30th Anniversary Edition</t>
  </si>
  <si>
    <t>Geoffrey R. Stone</t>
  </si>
  <si>
    <t>Perilous Times: Free Speech in Wartime: From the Sedition Act of 1798 to the War on Terrorism</t>
  </si>
  <si>
    <t>the Year 2100</t>
  </si>
  <si>
    <t>Physics of the Future: How Science Will Shape Human Destiny and Our Daily Lives</t>
  </si>
  <si>
    <t>Rebecca Goldstein</t>
  </si>
  <si>
    <t>Plato at the Googleplex: Why Philosophy Won't Go Away</t>
  </si>
  <si>
    <t>Rick Tamlyn</t>
  </si>
  <si>
    <t>Play Your Bigger Game: 9 Minutes to Learn, a Lifetime to Live</t>
  </si>
  <si>
    <t>Richard Powers</t>
  </si>
  <si>
    <t>Playground: A Novel</t>
  </si>
  <si>
    <t>Shirzad Chamine</t>
  </si>
  <si>
    <t>Positive Intelligence: Why Only 20% of Teams and Individuals Achieve Their True Potential AND HOW YOU CAN ACHIEVE YOURS</t>
  </si>
  <si>
    <t>Ben Coes</t>
  </si>
  <si>
    <t>Power Down (A Dewey Andreas Novel, 1)</t>
  </si>
  <si>
    <t>Charlie Savage</t>
  </si>
  <si>
    <t>Power Wars: Inside Obama's Post-9/11 Presidency</t>
  </si>
  <si>
    <t>Doug Lemov, Erica Woolway</t>
  </si>
  <si>
    <t>Practice Perfect: 42 Rules for Getting Better at Getting Better</t>
  </si>
  <si>
    <t>Amy Cuddy</t>
  </si>
  <si>
    <t>Presence: Bringing Your Boldest Self to Your Biggest Challenges</t>
  </si>
  <si>
    <t>Michael Beschloss</t>
  </si>
  <si>
    <t>Presidents of War: The Epic Story, from 1807 to Modern Times</t>
  </si>
  <si>
    <t>Patricia Lockwood</t>
  </si>
  <si>
    <t>Priestdaddy: A Memoir</t>
  </si>
  <si>
    <t>Allen B. Downey</t>
  </si>
  <si>
    <t>Probably Overthinking It: How to Use Data to Answer Questions, Avoid Statistical Traps, and Make Better Decisions</t>
  </si>
  <si>
    <t>Peter Ralston</t>
  </si>
  <si>
    <t>Pursuing Consciousness: The Book of Enlightenment and Transformation</t>
  </si>
  <si>
    <t>Tim Tigner</t>
  </si>
  <si>
    <t>Pushing Brilliance: A heroic quest packed with action, intrigue, and nail-biting suspense (Kyle Achilles Book 1)</t>
  </si>
  <si>
    <t>Malin Persson Giolito, Rachel Willson-Broyles</t>
  </si>
  <si>
    <t>Quicksand: A Novel</t>
  </si>
  <si>
    <t>Annie Duke</t>
  </si>
  <si>
    <t>Quit: The Power of Knowing When to Walk Away</t>
  </si>
  <si>
    <t>David Mamet</t>
  </si>
  <si>
    <t>Race</t>
  </si>
  <si>
    <t>Ruha Benjamin</t>
  </si>
  <si>
    <t>Race After Technology: Abolitionist Tools for the New Jim Code</t>
  </si>
  <si>
    <t>Vernor Vinge</t>
  </si>
  <si>
    <t>Rainbows End: A Novel with One Foot in the Future</t>
  </si>
  <si>
    <t>Ph.D. John Gottman, Joan Declaire</t>
  </si>
  <si>
    <t>Raising An Emotionally Intelligent Child The Heart of Parenting</t>
  </si>
  <si>
    <t>Ashok Bajaj, Vikram Sunderam</t>
  </si>
  <si>
    <t>Rasika: Flavors of India</t>
  </si>
  <si>
    <t>Rationality: What It Is, Why It Seems Scarce, Why It Matters</t>
  </si>
  <si>
    <t>S. A. Cosby</t>
  </si>
  <si>
    <t>Razorblade Tears: A Novel</t>
  </si>
  <si>
    <t>Sherry Turkle</t>
  </si>
  <si>
    <t>Reclaiming Conversation: The Power of Talk in a Digital Age</t>
  </si>
  <si>
    <t>Jason Matthews</t>
  </si>
  <si>
    <t>Red Sparrow: A Novel (The Red Sparrow Trilogy)</t>
  </si>
  <si>
    <t>Pat Barker</t>
  </si>
  <si>
    <t>Regeneration</t>
  </si>
  <si>
    <t>Marin Ireland, Michael Urie</t>
  </si>
  <si>
    <t>Remarkably Bright Creatures: A Novel</t>
  </si>
  <si>
    <t>Shelby Van Pelt</t>
  </si>
  <si>
    <t>Jeff Shapiro</t>
  </si>
  <si>
    <t>Renato's Luck: A Journey Through a Tuscan Village to Rome to Save Marriage, Family, and Town</t>
  </si>
  <si>
    <t>Corey J. White</t>
  </si>
  <si>
    <t>Repo Virtual</t>
  </si>
  <si>
    <t>Garrett Neiman, Robin DiAngelo</t>
  </si>
  <si>
    <t>Rich White Men: What It Takes to Uproot the Old Boys' Club and Transform America</t>
  </si>
  <si>
    <t>Beverley Driver Eddy</t>
  </si>
  <si>
    <t>Ritchie Boy Secrets: How a Force of Immigrants and Refugees Helped Win World War II</t>
  </si>
  <si>
    <t>Paul Boesch</t>
  </si>
  <si>
    <t>Road to Huertgen: Forest in Hell</t>
  </si>
  <si>
    <t>Evan Thomas</t>
  </si>
  <si>
    <t>Road to Surrender: Three Men and the Countdown to the End of World War II</t>
  </si>
  <si>
    <t>Will Jacobs, Fred Lennox</t>
  </si>
  <si>
    <t>Rock, Paper, Scissors: The Instant Leadership Solution</t>
  </si>
  <si>
    <t>Ben Macintyre</t>
  </si>
  <si>
    <t>Rogue Heroes: The History of the SAS, Britain's Secret Special Forces Unit That Sabotaged the Nazis and Changed the Nature of War</t>
  </si>
  <si>
    <t>John Grisham</t>
  </si>
  <si>
    <t>Rogue Lawyer: A Novel</t>
  </si>
  <si>
    <t>Mark Lee Gardner</t>
  </si>
  <si>
    <t>Rough Riders: Theodore Roosevelt, His Cowboy Regiment, and the Immortal Charge Up San Juan Hill</t>
  </si>
  <si>
    <t>Richard Overy</t>
  </si>
  <si>
    <t>Russia's War: A History of the Soviet Effort: 1941-1945</t>
  </si>
  <si>
    <t>Brian K. Vaughan, Fiona Staples</t>
  </si>
  <si>
    <t>Saga Vol. 1</t>
  </si>
  <si>
    <t>Morgan Housel</t>
  </si>
  <si>
    <t>Same as Ever: A Guide to What Never Changes</t>
  </si>
  <si>
    <t>Claire Hughes Johnson</t>
  </si>
  <si>
    <t>Scaling People: Tactics for Management and Company Building</t>
  </si>
  <si>
    <t>Thomas Keneally</t>
  </si>
  <si>
    <t>Schindler's List</t>
  </si>
  <si>
    <t>Chade-Meng Tan, Daniel Goleman</t>
  </si>
  <si>
    <t>Search Inside Yourself: The Unexpected Path to Achieving Success, Happiness (and World Peace)</t>
  </si>
  <si>
    <t>Secrets to BIG MONEY Fundraising -: Next level nonprofit fundraising using human motivation, storytelling and partnership to increase charity donations.</t>
  </si>
  <si>
    <t>Carlo Rovelli</t>
  </si>
  <si>
    <t>Seven Brief Lessons on Physics</t>
  </si>
  <si>
    <t>Verlyn Klinkenborg</t>
  </si>
  <si>
    <t>Several Short Sentences About Writing</t>
  </si>
  <si>
    <t>Robert Templer</t>
  </si>
  <si>
    <t>Shadows and Wind: A View of Modern Vietnam</t>
  </si>
  <si>
    <t>Tevi Troy, Joseph I. Lieberman</t>
  </si>
  <si>
    <t>Shall We Wake the President?: Two Centuries of Disaster Management from the Oval Office</t>
  </si>
  <si>
    <t>Shannon Messenger</t>
  </si>
  <si>
    <t>Shannon Messenger..Keeper of the Lost Cities Collection Books 1-9 : Keeper of the Lost Cities; Exile; Everblaze; Neverseen; Lodestar; Nightfall; Flashback; Lagacy; Stellarlune</t>
  </si>
  <si>
    <t>Shift: Managing Your Emotions--So They Don't Manage You</t>
  </si>
  <si>
    <t>Jesmyn Ward</t>
  </si>
  <si>
    <t>Sing, Unburied, Sing: A Novel</t>
  </si>
  <si>
    <t>Edward Ball</t>
  </si>
  <si>
    <t>Slaves in the Family</t>
  </si>
  <si>
    <t>James E. Crisp</t>
  </si>
  <si>
    <t>Sleuthing the Alamo: Davy Crockett's Last Stand and Other Mysteries of the Texas Revolution (New Narratives in American History)</t>
  </si>
  <si>
    <t>Martinus Evans</t>
  </si>
  <si>
    <t>Slow AF Run Club: The Ultimate Guide for Anyone Who Wants to Run</t>
  </si>
  <si>
    <t>Edna Ferber</t>
  </si>
  <si>
    <t>So Big: (Winner of the Pulitzer Prize)</t>
  </si>
  <si>
    <t>Alex Pentland</t>
  </si>
  <si>
    <t>Social Physics: How Good Ideas Spread-The Lessons from a New Science</t>
  </si>
  <si>
    <t>The Last Hundred Years Trilogy: A Family Saga</t>
  </si>
  <si>
    <t>Jane Smiley</t>
  </si>
  <si>
    <t>Some Luck</t>
  </si>
  <si>
    <t>Daisy Ridley, Jojo Moyes</t>
  </si>
  <si>
    <t>Someone Else's Shoes: A Novel</t>
  </si>
  <si>
    <t>Sean Carroll</t>
  </si>
  <si>
    <t>Something Deeply Hidden: Quantum Worlds and the Emergence of Spacetime</t>
  </si>
  <si>
    <t>Renata Adler, Guy Trebay</t>
  </si>
  <si>
    <t>Speedboat</t>
  </si>
  <si>
    <t>Daniel Treisman, Sergei Guriev</t>
  </si>
  <si>
    <t>Spin Dictators: The Changing Face of Tyranny in the 21st Century</t>
  </si>
  <si>
    <t>SPQR: A History of Ancient Rome</t>
  </si>
  <si>
    <t>Spying on the South: An Odyssey Across the American Divide</t>
  </si>
  <si>
    <t>Stalingrad: The Fateful Siege: 1942-1943</t>
  </si>
  <si>
    <t>Staring at the Sun: Overcoming the Terror of Death</t>
  </si>
  <si>
    <t>Melissa Isaacson</t>
  </si>
  <si>
    <t>State: A Team, a Triumph, a Transformation</t>
  </si>
  <si>
    <t>Emily St. John Mandel</t>
  </si>
  <si>
    <t>Station Eleven: A Novel (National Book Award Finalist)</t>
  </si>
  <si>
    <t>Steven Kotler, Jamie Wheal</t>
  </si>
  <si>
    <t>Stealing Fire: How Silicon Valley, the Navy SEALs, and Maverick Scientists Are Revolutionizing the Way We Live and Work</t>
  </si>
  <si>
    <t>Anna Quindlen</t>
  </si>
  <si>
    <t>Still Life with Bread Crumbs: A Novel</t>
  </si>
  <si>
    <t>Chevy Stevens</t>
  </si>
  <si>
    <t>Still Missing: A Novel</t>
  </si>
  <si>
    <t>Charlotte Wood</t>
  </si>
  <si>
    <t>Stone Yard Devotional: A Novel</t>
  </si>
  <si>
    <t>Ted Chiang</t>
  </si>
  <si>
    <t>Stories of Your Life and Others</t>
  </si>
  <si>
    <t>Jane Mayer, Jill Abramson</t>
  </si>
  <si>
    <t>Strange Justice: The Selling of Clarence Thomas</t>
  </si>
  <si>
    <t>Michel Houellebecq, Lorin Stein</t>
  </si>
  <si>
    <t>Submission: A Novel</t>
  </si>
  <si>
    <t>Jeremy Bates</t>
  </si>
  <si>
    <t>Suicide Forest: A Gripping Psychological Thriller of Suspense and Terror (World's Scariest Places Book 1)</t>
  </si>
  <si>
    <t>Michael Chabon</t>
  </si>
  <si>
    <t>Summerland</t>
  </si>
  <si>
    <t>DK</t>
  </si>
  <si>
    <t>Super Simple Physics: The Ultimate Bitesize Study Guide</t>
  </si>
  <si>
    <t>Charles Duhigg</t>
  </si>
  <si>
    <t>Supercommunicators: How to Unlock the Secret Language of Connection</t>
  </si>
  <si>
    <t>Nick Bostrom</t>
  </si>
  <si>
    <t>Superintelligence: Paths, Dangers, Strategies</t>
  </si>
  <si>
    <t>Nick Bostrom, Napoleon Ryan</t>
  </si>
  <si>
    <t>Idiots: The Four Types of Human Behavior and How to Effectively Communicate with Each in Business (and in Life)</t>
  </si>
  <si>
    <t>Surrounded</t>
  </si>
  <si>
    <t>J. R. Moehringer</t>
  </si>
  <si>
    <t>Sutton</t>
  </si>
  <si>
    <t>Switch: How to Change Things When Change Is Hard</t>
  </si>
  <si>
    <t>Sycamore Row</t>
  </si>
  <si>
    <t>John Gall, D.H. Gall</t>
  </si>
  <si>
    <t>Systemantics, The Systems Bible</t>
  </si>
  <si>
    <t>Catherine Ryan Hyde</t>
  </si>
  <si>
    <t>Take Me With You</t>
  </si>
  <si>
    <t>James A. Michener, Steve Berry</t>
  </si>
  <si>
    <t>Tales of the South Pacific</t>
  </si>
  <si>
    <t>Carol J. Loomis</t>
  </si>
  <si>
    <t>Tap Dancing to Work: Warren Buffett on Practically Everything, 1966-2012: A Fortune Magazine Book</t>
  </si>
  <si>
    <t>Doug Lemov, Michael Butler Murray</t>
  </si>
  <si>
    <t>Teach Like a Champion 3.0: 63 Techniques that Put Students on the Path to College</t>
  </si>
  <si>
    <t>General Stanley McChrystal, Tantum Collins</t>
  </si>
  <si>
    <t>Team of Teams: New Rules of Engagement for a Complex World</t>
  </si>
  <si>
    <t>F. Scott Fitzgerald</t>
  </si>
  <si>
    <t>Tender Is the Night (Cover May Vary)</t>
  </si>
  <si>
    <t>Richard Munson</t>
  </si>
  <si>
    <t>Tesla: Inventor of the Modern</t>
  </si>
  <si>
    <t>Thomas L. Friedman</t>
  </si>
  <si>
    <t>Thank You for Being Late: An Optimist's Guide to Thriving in the Age of Accelerations</t>
  </si>
  <si>
    <t>Thank You for Your Service</t>
  </si>
  <si>
    <t>Inglath Cooper</t>
  </si>
  <si>
    <t>That Month in Tuscany (Take Me There)</t>
  </si>
  <si>
    <t>Richard Russo</t>
  </si>
  <si>
    <t>That Old Cape Magic: A Novel</t>
  </si>
  <si>
    <t>Lynda Gratton, Andrew Scott</t>
  </si>
  <si>
    <t>The 100-Year Life: Living and Working in an Age of Longevity</t>
  </si>
  <si>
    <t>Sahil Bloom</t>
  </si>
  <si>
    <t>The 5 Types of Wealth: A Transformative Guide to Design Your Dream Life</t>
  </si>
  <si>
    <t>Stuart Turton</t>
  </si>
  <si>
    <t>The 7 1/2 Deaths of Evelyn Hardcastle</t>
  </si>
  <si>
    <t>National Book Award</t>
  </si>
  <si>
    <t>The Absolutely True Diary of a Part-Time Indian</t>
  </si>
  <si>
    <t>Commonwealth: Chronicle of the Fallers</t>
  </si>
  <si>
    <t>Peter F. Hamilton</t>
  </si>
  <si>
    <t>The Abyss Beyond Dreams: A Novel of the Commonwealth</t>
  </si>
  <si>
    <t>Chris Pavone</t>
  </si>
  <si>
    <t>The Accident</t>
  </si>
  <si>
    <t>Peter Lee, Carey Goldberg</t>
  </si>
  <si>
    <t>The AI Revolution in Medicine: GPT-4 and Beyond</t>
  </si>
  <si>
    <t>Paulo Coelho, Alan R. Clarke</t>
  </si>
  <si>
    <t>The Alchemist</t>
  </si>
  <si>
    <t>The Alchemist: A Modern Classic of Magic and Mysticism</t>
  </si>
  <si>
    <t>Scott Galloway</t>
  </si>
  <si>
    <t>The Algebra of Happiness: Notes on the Pursuit of Success, Love, and Meaning</t>
  </si>
  <si>
    <t>Saskia Maarleveld, Kate Quinn</t>
  </si>
  <si>
    <t>The Alice Network: A Novel</t>
  </si>
  <si>
    <t>Reid Hoffman, Ben Casnocha</t>
  </si>
  <si>
    <t>The Alliance: Managing Talent in the Networked Age</t>
  </si>
  <si>
    <t>The Amazing Adventures of Kavalier &amp; Clay</t>
  </si>
  <si>
    <t>Russell F. Weigley</t>
  </si>
  <si>
    <t>The American Way of War: A History of United States Military Strategy and Policy</t>
  </si>
  <si>
    <t>Hervé Le Tellier, Adriana Hunter</t>
  </si>
  <si>
    <t>The Anomaly: A Novel</t>
  </si>
  <si>
    <t>Jonathan Haidt, Sean Pratt</t>
  </si>
  <si>
    <t>The Anxious Generation: How the Great Rewiring of Childhood Is Causing an Epidemic of Mental Illness</t>
  </si>
  <si>
    <t>Lindsey Drager</t>
  </si>
  <si>
    <t>The Archive of Alternate Endings</t>
  </si>
  <si>
    <t>Maggie Nelson</t>
  </si>
  <si>
    <t>The Argonauts</t>
  </si>
  <si>
    <t>B. A. Shapiro</t>
  </si>
  <si>
    <t>The Art Forger: A Novel</t>
  </si>
  <si>
    <t>Jan-Philipp Sendker, Kevin Wiliarty</t>
  </si>
  <si>
    <t>The Art of Hearing Heartbeats: A Novel</t>
  </si>
  <si>
    <t>Thich Nhat Hanh</t>
  </si>
  <si>
    <t>The Art of Living: A Guide to Mindfulness, Personal Growth, and Peace with Transformative Meditations for Understanding Life's Deepest Questions and Experiencing Happiness and Freedom</t>
  </si>
  <si>
    <t>Bruce Barnbaum</t>
  </si>
  <si>
    <t>The Art of Photography: An Approach to Personal Expression</t>
  </si>
  <si>
    <t>Rebecca Rolland</t>
  </si>
  <si>
    <t>The Art of Talking with Children: The Simple Keys to Nurturing Kindness, Creativity, and Confidence in Kids</t>
  </si>
  <si>
    <t>David Spiegelhalter</t>
  </si>
  <si>
    <t>The Art of Uncertainty: How to Navigate Chance, Ignorance, Risk and Luck</t>
  </si>
  <si>
    <t>Martin Van Creveld</t>
  </si>
  <si>
    <t>The Art of War: War and Military Thought</t>
  </si>
  <si>
    <t>Edoardo Ballerini, Michael Finkel</t>
  </si>
  <si>
    <t>The Art Thief: A True Story of Love, Crime, and a Dangerous Obsession</t>
  </si>
  <si>
    <t>Karan Mahajan</t>
  </si>
  <si>
    <t>The Association of Small Bombs: A Novel</t>
  </si>
  <si>
    <t>Amy Tan, David Allen Sibley</t>
  </si>
  <si>
    <t>The Backyard Bird Chronicles</t>
  </si>
  <si>
    <t>A Chief Inspector Gamache Novel</t>
  </si>
  <si>
    <t>Louise Penny</t>
  </si>
  <si>
    <t>The Beautiful Mystery</t>
  </si>
  <si>
    <t>Robert Atwan, Cheryl Strayed</t>
  </si>
  <si>
    <t>The Best American Essays 2013</t>
  </si>
  <si>
    <t>The Best American Mystery Stories 2013: A Curated Literary Collection of Crime Books, Mysteries, and Thrillers</t>
  </si>
  <si>
    <t>Elizabeth Strout, Heidi Pitlor</t>
  </si>
  <si>
    <t>The Best American Short Stories 2013</t>
  </si>
  <si>
    <t>Jesmyn Ward, Heidi Pitlor</t>
  </si>
  <si>
    <t>The Best American Short Stories 2021</t>
  </si>
  <si>
    <t>The Best of Tony Robbins: Lessons for Life Changing Success</t>
  </si>
  <si>
    <t>Joel Spolsky</t>
  </si>
  <si>
    <t>The Best Software Writing I: Selected and Introduced</t>
  </si>
  <si>
    <t>Thi Bui</t>
  </si>
  <si>
    <t>The Best We Could Do: An Illustrated Memoir</t>
  </si>
  <si>
    <t>Timothy Egan</t>
  </si>
  <si>
    <t>The Big Burn: Teddy Roosevelt and the Fire that Saved America – An Epic Adventure Story of the 1910 Blaze that Led to the Creation of the National Forests</t>
  </si>
  <si>
    <t>The Big Picture: On the Origins of Life, Meaning, and the Universe Itself</t>
  </si>
  <si>
    <t>Clay Risen</t>
  </si>
  <si>
    <t>The Bill of the Century: The Epic Battle for the Civil Rights Act</t>
  </si>
  <si>
    <t>Barry Werth</t>
  </si>
  <si>
    <t>The Billion Dollar Molecule: One Company's Quest for the Perfect Drug</t>
  </si>
  <si>
    <t>Tom Reiss</t>
  </si>
  <si>
    <t>The Black Count: Glory, Revolution, Betrayal, and the Real Count of Monte Cristo</t>
  </si>
  <si>
    <t>Brent Weeks</t>
  </si>
  <si>
    <t>The Black Prism (Lightbringer, 1)</t>
  </si>
  <si>
    <t>The Blackhouse: The Lewis Trilogy</t>
  </si>
  <si>
    <t>The Blank Slate: The Modern Denial of Human Nature</t>
  </si>
  <si>
    <t>Sean Pratt, Bessel van der Kolk M.D.</t>
  </si>
  <si>
    <t>The Body Keeps the Score: Brain, Mind, and Body in the Healing of Trauma</t>
  </si>
  <si>
    <t>Aleksandar Hemon</t>
  </si>
  <si>
    <t>The Book of My Lives</t>
  </si>
  <si>
    <t>The Book of Not Knowing: Exploring the True Nature of Self, Mind, and Consciousness</t>
  </si>
  <si>
    <t>Judea Pearl, Dana Mackenzie</t>
  </si>
  <si>
    <t>The Book of Why: The New Science of Cause and Effect</t>
  </si>
  <si>
    <t>John Boyne</t>
  </si>
  <si>
    <t>The Boy in the Striped Pajamas</t>
  </si>
  <si>
    <t>David Halberstam</t>
  </si>
  <si>
    <t>The Breaks of the Game</t>
  </si>
  <si>
    <t>George Newbern, Rick Atkinson</t>
  </si>
  <si>
    <t>Elizabeth Strout</t>
  </si>
  <si>
    <t>The Burgess Boys: A Novel</t>
  </si>
  <si>
    <t>recommended by Julie Farago</t>
  </si>
  <si>
    <t>The Buried Giant: A novel</t>
  </si>
  <si>
    <t>Michael Connelly</t>
  </si>
  <si>
    <t>The Burning Room</t>
  </si>
  <si>
    <t>Robert Coles</t>
  </si>
  <si>
    <t>The Call Of Stories: Teaching and the Moral Imagination – A Study of How Listening Promotes Learning and Self-Discovery</t>
  </si>
  <si>
    <t>Donald D. Hoffman</t>
  </si>
  <si>
    <t>The Case Against Reality: How Evolution Hid the Truth from Our Eyes</t>
  </si>
  <si>
    <t>Olivia Fox Cabane</t>
  </si>
  <si>
    <t>The Charisma Myth: How Anyone Can Master the Art and Science of Personal Magnetism</t>
  </si>
  <si>
    <t>The Circle</t>
  </si>
  <si>
    <t>The Great Cities Book 1</t>
  </si>
  <si>
    <t>N. K. Jemisin</t>
  </si>
  <si>
    <t xml:space="preserve">The City We Became: A Novel </t>
  </si>
  <si>
    <t>Bob Mortimer</t>
  </si>
  <si>
    <t>The Clementine Complex (Gary Thorn, 1)</t>
  </si>
  <si>
    <t>Greg Lukianoff, Jonathan Haidt</t>
  </si>
  <si>
    <t>The Coddling of the American Mind: How Good Intentions and Bad Ideas Are Setting Up a Generation for Failure</t>
  </si>
  <si>
    <t>Jonathan Haidt, Greg Lukianoff</t>
  </si>
  <si>
    <t>Essential Histories</t>
  </si>
  <si>
    <t>Alastair Finlan</t>
  </si>
  <si>
    <t>The Collapse of Yugoslavia 1991-1999</t>
  </si>
  <si>
    <t>The Collapsing Empire (The Interdependency, 1)</t>
  </si>
  <si>
    <t>The Color of Water</t>
  </si>
  <si>
    <t>Mustafa Suleyman, Michael Bhaskar</t>
  </si>
  <si>
    <t>The Coming Wave: Technology, Power, and the Twenty-first Century's Greatest Dilemma</t>
  </si>
  <si>
    <t>Margalit Fox</t>
  </si>
  <si>
    <t>The Confidence Men: How Two Prisoners of War Engineered the Most Remarkable Escape in History</t>
  </si>
  <si>
    <t>Abraham Verghese</t>
  </si>
  <si>
    <t>The Covenant of Water</t>
  </si>
  <si>
    <t>Rick Rubin</t>
  </si>
  <si>
    <t>The Creative Act: A Way of Being</t>
  </si>
  <si>
    <t>The Crossing</t>
  </si>
  <si>
    <t>The Crowded Hour: Theodore Roosevelt, the Rough Riders, and the Dawn of the American Century</t>
  </si>
  <si>
    <t>The Three-Body Problem, book 2</t>
  </si>
  <si>
    <t>Cixin Liu, Joel Martinsen</t>
  </si>
  <si>
    <t>Paul Davies</t>
  </si>
  <si>
    <t>The Demon in the Machine: How Hidden Webs of Information Are Solving the Mystery of Life</t>
  </si>
  <si>
    <t>Don Norman</t>
  </si>
  <si>
    <t>The Design of Everyday Things: Revised and Expanded Edition</t>
  </si>
  <si>
    <t>Seth Godin</t>
  </si>
  <si>
    <t>The Dip: A Little Book That Teaches You When to Quit (and When to Stick)</t>
  </si>
  <si>
    <t>Hainish Cycle</t>
  </si>
  <si>
    <t>Ursula K. Le Guin, Karen Joy Fowler</t>
  </si>
  <si>
    <t>The Dispossessed: A Novel</t>
  </si>
  <si>
    <t>The Doorman: A Novel</t>
  </si>
  <si>
    <t>Commonwealth: The Void Trilogy</t>
  </si>
  <si>
    <t>The Dreaming Void</t>
  </si>
  <si>
    <t>Siddhartha Mukherjee</t>
  </si>
  <si>
    <t>The Emperor of All Maladies: A Biography of Cancer</t>
  </si>
  <si>
    <t>Francis Fukuyama</t>
  </si>
  <si>
    <t>The End of History and the Last Man</t>
  </si>
  <si>
    <t>Moises Naim</t>
  </si>
  <si>
    <t>The End of Power: From Boardrooms to Battlefields and Churches to States, Why Being In Charge Isn't What It Used to Be</t>
  </si>
  <si>
    <t>Gabriel Allon, book 13</t>
  </si>
  <si>
    <t>Daniel Silva</t>
  </si>
  <si>
    <t>The English Girl: A Novel</t>
  </si>
  <si>
    <t>Ralph Waldo Emerson, Mark Bowen</t>
  </si>
  <si>
    <t>The Essential Writings of Ralph Waldo Emerson: Nature, Self-Reliance, Compensation, the American Scholar and Other Essays</t>
  </si>
  <si>
    <t>Stephen Grosz</t>
  </si>
  <si>
    <t>The Examined Life: How We Lose and Find Ourselves</t>
  </si>
  <si>
    <t>The Extraordinary Life of Sam Hell: A Novel</t>
  </si>
  <si>
    <t>Alex Berenson</t>
  </si>
  <si>
    <t>The Faithful Spy (John Wells, No. 1)</t>
  </si>
  <si>
    <t>Misha Glenny</t>
  </si>
  <si>
    <t>The Fall of Yugoslavia: The Third Balkan War,</t>
  </si>
  <si>
    <t>The Family Trade</t>
  </si>
  <si>
    <t>Lisa Jewell</t>
  </si>
  <si>
    <t>The Family Upstairs: A Novel</t>
  </si>
  <si>
    <t>Amy C. Edmondson</t>
  </si>
  <si>
    <t>The Fearless Organization: Creating Psychological Safety in the Workplace for Learning, Innovation, and Growth</t>
  </si>
  <si>
    <t>Richard A. Posner</t>
  </si>
  <si>
    <t>The Federal Judiciary: Strengths and Weaknesses</t>
  </si>
  <si>
    <t>The Broken Earth Book 1</t>
  </si>
  <si>
    <t xml:space="preserve">The Fifth Season </t>
  </si>
  <si>
    <t>Mitch Albom</t>
  </si>
  <si>
    <t>The Five People You Meet in Heaven</t>
  </si>
  <si>
    <t>Rachel Kushner</t>
  </si>
  <si>
    <t>The Flamethrowers: A Novel</t>
  </si>
  <si>
    <t>Julie Orringer</t>
  </si>
  <si>
    <t>The Flight Portfolio: A novel</t>
  </si>
  <si>
    <t>The Fold: A Novel</t>
  </si>
  <si>
    <t>Sharon Guskin</t>
  </si>
  <si>
    <t>The Forgetting Time: A Novel</t>
  </si>
  <si>
    <t>Elif Shafak</t>
  </si>
  <si>
    <t>The Forty Rules of Love: A Novel of Rumi</t>
  </si>
  <si>
    <t>Kristin Hannah</t>
  </si>
  <si>
    <t>The Four Winds: A Novel</t>
  </si>
  <si>
    <t>Sigrid Nunez</t>
  </si>
  <si>
    <t>The Friend: A Novel</t>
  </si>
  <si>
    <t>Alex Michaelides</t>
  </si>
  <si>
    <t>The Fury</t>
  </si>
  <si>
    <t>Tan Twan Eng</t>
  </si>
  <si>
    <t>The Garden of Evening Mists</t>
  </si>
  <si>
    <t>The Gene: An Intimate History</t>
  </si>
  <si>
    <t>Jennifer McCrea, Jeffrey C. Walker</t>
  </si>
  <si>
    <t>The Generosity Network: New Transformational Tools for Successful Fund-Raising</t>
  </si>
  <si>
    <t>Richard Dawkins, Jana Lenzova</t>
  </si>
  <si>
    <t>The Genetic Book of the Dead: A Darwinian Reverie</t>
  </si>
  <si>
    <t>Steven Johnson</t>
  </si>
  <si>
    <t>The Ghost Map: A Street, an Epidemic and the Hidden Power of Urban Networks.</t>
  </si>
  <si>
    <t>The Ghost Road: Booker Prize Winner (A Novel) (Regeneration Book 3)</t>
  </si>
  <si>
    <t>Robert L. O'Connell</t>
  </si>
  <si>
    <t>The Ghosts of Cannae: Hannibal and the Darkest Hour of the Roman Republic</t>
  </si>
  <si>
    <t>M. R. Carey</t>
  </si>
  <si>
    <t>The Girl With All the Gifts</t>
  </si>
  <si>
    <t>The Giver of Stars: Reese's Book Club: A Novel</t>
  </si>
  <si>
    <t>Richard Dawkins</t>
  </si>
  <si>
    <t>The God Delusion</t>
  </si>
  <si>
    <t>The Good Lord Bird: A Novel</t>
  </si>
  <si>
    <t>Hannah Tinti</t>
  </si>
  <si>
    <t>The Good Thief: A Novel</t>
  </si>
  <si>
    <t>Jane Porter</t>
  </si>
  <si>
    <t>The Good Wife</t>
  </si>
  <si>
    <t>Richard Wrangham</t>
  </si>
  <si>
    <t>The Goodness Paradox: The Strange Relationship Between Virtue and Violence in Human Evolution</t>
  </si>
  <si>
    <t>The Great Alone: A Novel</t>
  </si>
  <si>
    <t>MILLGRAM</t>
  </si>
  <si>
    <t>THE GREAT ENDARKENMENT</t>
  </si>
  <si>
    <t>The Guardians: A Novel</t>
  </si>
  <si>
    <t xml:space="preserve"> The Liberation Trilogy, book 3</t>
  </si>
  <si>
    <t>The Guns at Last Light: The War in Western Europe, 1944-1945</t>
  </si>
  <si>
    <t>Jeff Jarvis</t>
  </si>
  <si>
    <t>The Gutenberg Parenthesis: The Age of Print and Its Lessons for the Age of the Internet</t>
  </si>
  <si>
    <t>John Man</t>
  </si>
  <si>
    <t>The Gutenberg Revolution: How Printing Changed the Course of History</t>
  </si>
  <si>
    <t>Robert Galbraith</t>
  </si>
  <si>
    <t>The Hallmarked Man: A Cormoran Strike Novel</t>
  </si>
  <si>
    <t>Jonathan Haidt</t>
  </si>
  <si>
    <t>The Happiness Hypothesis: Finding Modern Truth in Ancient Wisdom</t>
  </si>
  <si>
    <t>Ryan Vincent Anderson, Jonathan Haidt</t>
  </si>
  <si>
    <t>Gretchen Rubin</t>
  </si>
  <si>
    <t>The Happiness Project (Revised Edition): Or, Why I Spent a Year Trying to Sing in the Morning, Clean My Closets, Fight Right, Read Aristotle, and Generally Have More Fun</t>
  </si>
  <si>
    <t>Ben Horowitz</t>
  </si>
  <si>
    <t>The Hard Thing About Hard Things: Building a Business When There Are No Easy Answers―Straight Talk on the Challenges of Entrepreneurship</t>
  </si>
  <si>
    <t>Melissa Albert</t>
  </si>
  <si>
    <t>The Hazel Wood: A Novel</t>
  </si>
  <si>
    <t>Maylis de Kerangal, Sam Taylor</t>
  </si>
  <si>
    <t>The Heart: A Novel</t>
  </si>
  <si>
    <t>Joe Abercrombie</t>
  </si>
  <si>
    <t>The Heroes</t>
  </si>
  <si>
    <t>Ken Liu</t>
  </si>
  <si>
    <t>The Hidden Girl and Other Stories</t>
  </si>
  <si>
    <t>Peter Wohlleben, Jane Billinghurst</t>
  </si>
  <si>
    <t>The Hidden Life of Trees: What They Feel, How They Communicate―Discoveries from A Secret World</t>
  </si>
  <si>
    <t>Ben Cohen</t>
  </si>
  <si>
    <t>The Hot Hand: The Mystery and Science of Streaks – A WSJ Reporter's Entertaining Investigation into Psychology and Randomness</t>
  </si>
  <si>
    <t>TJ Klune</t>
  </si>
  <si>
    <t>The House in the Cerulean Sea (Cerulean Chronicles Book 1)</t>
  </si>
  <si>
    <t>Rashid Khalidi, Fajer Al-Kaisi</t>
  </si>
  <si>
    <t>The Hundred Years' War on Palestine: A History of Settler Colonialism and Resistance, 1917--2017</t>
  </si>
  <si>
    <t>Liane Moriarty</t>
  </si>
  <si>
    <t>The Husband's Secret</t>
  </si>
  <si>
    <t>Culture</t>
  </si>
  <si>
    <t>Iain M. Banks</t>
  </si>
  <si>
    <t xml:space="preserve">The Hydrogen Sonata </t>
  </si>
  <si>
    <t>Daniel James Brown</t>
  </si>
  <si>
    <t>The Indifferent Stars Above: The Harrowing Saga of the Donner Party</t>
  </si>
  <si>
    <t>Alec Ross</t>
  </si>
  <si>
    <t>The Industries of the Future</t>
  </si>
  <si>
    <t>Connie Zweig, Harry R. Moody</t>
  </si>
  <si>
    <t>The Inner Work of Age: Shifting from Role to Soul</t>
  </si>
  <si>
    <t>The Innovators: How a Group of Hackers, Geniuses, and Geeks Created the Digital Revolution</t>
  </si>
  <si>
    <t>Benjamin Fry</t>
  </si>
  <si>
    <t>The Invisible Lion</t>
  </si>
  <si>
    <t>Adrian McKinty</t>
  </si>
  <si>
    <t>The Island</t>
  </si>
  <si>
    <t>Ernie J. Zelinski</t>
  </si>
  <si>
    <t>The Joy of Not Working: A Book for the Retired, Unemployed and Overworked- 21st Century Edition</t>
  </si>
  <si>
    <t>Christian Brose</t>
  </si>
  <si>
    <t>The Kill Chain: Defending America in the Future of High-Tech Warfare</t>
  </si>
  <si>
    <t>Miles recommended</t>
  </si>
  <si>
    <t>Michael Shaara</t>
  </si>
  <si>
    <t>The Killer Angels</t>
  </si>
  <si>
    <t>Émile Zola, Brian Nelson</t>
  </si>
  <si>
    <t>The Ladies' Paradise</t>
  </si>
  <si>
    <t>The Language Instinct: How the Mind Creates Language</t>
  </si>
  <si>
    <t>Tiffany Haddish</t>
  </si>
  <si>
    <t>The Last Black Unicorn (A Bestselling Comedian Memoir)</t>
  </si>
  <si>
    <t>Walter Mosley</t>
  </si>
  <si>
    <t>The Last Days of Ptolemy Grey</t>
  </si>
  <si>
    <t>Catriona Ward, Christopher Ragland</t>
  </si>
  <si>
    <t>The Last House on Needless Street</t>
  </si>
  <si>
    <t>Frederic Bastiat</t>
  </si>
  <si>
    <t>The Law</t>
  </si>
  <si>
    <t>Allen Eskens</t>
  </si>
  <si>
    <t>The Life We Bury</t>
  </si>
  <si>
    <t>Jane Harper</t>
  </si>
  <si>
    <t>The Lost Man</t>
  </si>
  <si>
    <t>Jhumpa Lahiri, Sunil Malhotra (Audio CD) |</t>
  </si>
  <si>
    <t>The Lowland</t>
  </si>
  <si>
    <t>The Maidens: A Novel</t>
  </si>
  <si>
    <t>Saso Dolenc</t>
  </si>
  <si>
    <t>The Man Who Counted Infinity and Other Short Stories from Science, History and Philosophy</t>
  </si>
  <si>
    <t>Glen Clark, Rich McVicar</t>
  </si>
  <si>
    <t>The Man Who Tapped the Secrets of the Universe</t>
  </si>
  <si>
    <t>Mikhail Bulgakov, Christopher Conn Askew</t>
  </si>
  <si>
    <t>The Master and Margarita</t>
  </si>
  <si>
    <t>Grace Greene, Brittany Pressley</t>
  </si>
  <si>
    <t>The Memory of Butterflies: A Novel</t>
  </si>
  <si>
    <t>Simon Winchester</t>
  </si>
  <si>
    <t>The Men Who United the States: America's Explorers, Inventors, Eccentrics, and Mavericks, and the Creation of One Nation, Indivisible</t>
  </si>
  <si>
    <t>Mario Martinez</t>
  </si>
  <si>
    <t>The MindBody Code: How to Change the Beliefs that Limit Your Health, Longevity, and Success</t>
  </si>
  <si>
    <t>Better Life Journals, Justin R. Adams</t>
  </si>
  <si>
    <t>The Mindful Life Journal: Seven Minutes a Day for a Better, More Meaningful Life</t>
  </si>
  <si>
    <t>The Ministry for the Future: A Novel</t>
  </si>
  <si>
    <t>Alice Munro</t>
  </si>
  <si>
    <t>The Moons of Jupiter</t>
  </si>
  <si>
    <t>Robert Wright</t>
  </si>
  <si>
    <t>The Moral Animal: Why We Are, the Way We Are: The New Science of Evolutionary Psychology</t>
  </si>
  <si>
    <t>Peter Singer</t>
  </si>
  <si>
    <t>The Most Good You Can Do: How Effective Altruism Is Changing Ideas About Living Ethically</t>
  </si>
  <si>
    <t>Brian Christian</t>
  </si>
  <si>
    <t>The Most Human Human: What Talking with Computers Teaches Us About What It Means to Be Alive</t>
  </si>
  <si>
    <t>Brianna Wiest, Stacey Glemboski</t>
  </si>
  <si>
    <t>The Mountain Is You: Transforming Self-Sabotage into Self-Mastery</t>
  </si>
  <si>
    <t>Albert Camus</t>
  </si>
  <si>
    <t>The Myth of Sisyphus (Vintage International)</t>
  </si>
  <si>
    <t>The Napoleon of Crime: The Life and Times of Adam Worth, Master Thief</t>
  </si>
  <si>
    <t>Alexander Mikaberidze</t>
  </si>
  <si>
    <t>The Napoleonic Wars: A Global History</t>
  </si>
  <si>
    <t>Joseph Burgo PhD</t>
  </si>
  <si>
    <t>The Narcissist You Know: Defending Yourself Against Extreme Narcissists in an All-About-Me Age</t>
  </si>
  <si>
    <t>Richard Flanagan</t>
  </si>
  <si>
    <t>The Narrow Road to the Deep North</t>
  </si>
  <si>
    <t>John B. Judis</t>
  </si>
  <si>
    <t>The Nationalist Revival: Trade, Immigration, and the Revolt Against Globalization</t>
  </si>
  <si>
    <t>The New American Militarism: How Americans Are Seduced by War</t>
  </si>
  <si>
    <t>Michelle Alexander, Cornel West</t>
  </si>
  <si>
    <t>The New Jim Crow: Mass Incarceration in the Age of Colorblindness</t>
  </si>
  <si>
    <t>Colson Whitehead</t>
  </si>
  <si>
    <t>The Nickel Boys: A Novel</t>
  </si>
  <si>
    <t>The Nightingale: A Novel</t>
  </si>
  <si>
    <t>Nathan Hill</t>
  </si>
  <si>
    <t>The Nix</t>
  </si>
  <si>
    <t>Andrew Solomon</t>
  </si>
  <si>
    <t>The Noonday Demon: An Atlas of Depression</t>
  </si>
  <si>
    <t>Donald Antrim, Andrea Barrett, Ann Beattie, Deborah Eisenberg, Ruth Prawer Jhabvala, Kelly Link, Alice Munro, and Lily Tuck</t>
  </si>
  <si>
    <t>The O. Henry Prize Stories 2013</t>
  </si>
  <si>
    <t>Joseph Finder</t>
  </si>
  <si>
    <t>The Oligarch's Daughter: A Novel</t>
  </si>
  <si>
    <t>The Order of Time</t>
  </si>
  <si>
    <t>Rinker Buck</t>
  </si>
  <si>
    <t>The Oregon Trail: A New American Journey</t>
  </si>
  <si>
    <t>Daniel J. Levitin</t>
  </si>
  <si>
    <t>The Organized Mind: Thinking Straight in the Age of Information Overload</t>
  </si>
  <si>
    <t>Julian Jaynes</t>
  </si>
  <si>
    <t>The Origin of Consciousness in the Breakdown of the Bicameral Mind</t>
  </si>
  <si>
    <t>The Origins of Political Order: From Prehuman Times to the French Revolution</t>
  </si>
  <si>
    <t>Michael Puett, Christine Gross-Loh</t>
  </si>
  <si>
    <t>The Path: What Chinese Philosophers Can Teach Us About the Good Life</t>
  </si>
  <si>
    <t>The Patron Saint Of Liars</t>
  </si>
  <si>
    <t>W. Daniel Hillis</t>
  </si>
  <si>
    <t>The Pattern on the Stone (Science Masters)</t>
  </si>
  <si>
    <t>Cassie Dandridge Selleck</t>
  </si>
  <si>
    <t>The Pecan Man</t>
  </si>
  <si>
    <t>Jared Yates Sexton</t>
  </si>
  <si>
    <t>The People Are Going to Rise Like the Waters Upon Your Shore: A Story of American Rage</t>
  </si>
  <si>
    <t>The Jackpot Trilogy Book 1</t>
  </si>
  <si>
    <t>The Peripheral</t>
  </si>
  <si>
    <t>David A. Price</t>
  </si>
  <si>
    <t>The Pixar Touch: The Making of a Company</t>
  </si>
  <si>
    <t>Dan Jones</t>
  </si>
  <si>
    <t>The Plantagenets: The Warrior Kings and Queens Who Made England</t>
  </si>
  <si>
    <t>Elizabeth Acevedo, Quill Tree Books</t>
  </si>
  <si>
    <t>The Poet X</t>
  </si>
  <si>
    <t>The Populist Explosion: How the Great Recession Transformed American and European Politics</t>
  </si>
  <si>
    <t>Fareed Zakaria</t>
  </si>
  <si>
    <t>The Post-American World</t>
  </si>
  <si>
    <t>Bryce Courtenay</t>
  </si>
  <si>
    <t>The Power of One: A Novel</t>
  </si>
  <si>
    <t>The Premonition: A Pandemic Story</t>
  </si>
  <si>
    <t>Joseph E. Stiglitz</t>
  </si>
  <si>
    <t>The Price of Inequality: How Today's Divided Society Endangers Our Future</t>
  </si>
  <si>
    <t>The Price of Time: A whodunit mystery thriller with unpredictable twists and glamorous intrigue</t>
  </si>
  <si>
    <t>Dale Russakoff</t>
  </si>
  <si>
    <t>The Prize: Who's in Charge of America's Schools?</t>
  </si>
  <si>
    <t>James Robertson</t>
  </si>
  <si>
    <t>The Professor of Truth: A Novel</t>
  </si>
  <si>
    <t>Kahlil Gibran</t>
  </si>
  <si>
    <t>The Prophet</t>
  </si>
  <si>
    <t>Mary Jo Putney</t>
  </si>
  <si>
    <t>The Rake</t>
  </si>
  <si>
    <t>Corey Robin</t>
  </si>
  <si>
    <t>The Reactionary Mind: Conservatism from Edmund Burke to Sarah Palin</t>
  </si>
  <si>
    <t>Nicholas Guy Smith, Kazuo Ishiguro</t>
  </si>
  <si>
    <t>The Remains of the Day</t>
  </si>
  <si>
    <t>Ken MacLeod</t>
  </si>
  <si>
    <t>The Restoration Game</t>
  </si>
  <si>
    <t>David Glass, William Egginton</t>
  </si>
  <si>
    <t>The Rigor of Angels: Borges, Heisenberg, Kant, and the Ultimate Nature of Reality</t>
  </si>
  <si>
    <t>Robert J. Gordon</t>
  </si>
  <si>
    <t>The Rise and Fall of American Growth: The U.S. Standard of Living since the Civil War (The Princeton Economic History of the Western World)</t>
  </si>
  <si>
    <t>Adam Nevill</t>
  </si>
  <si>
    <t>The Ritual: A Novel</t>
  </si>
  <si>
    <t>Wally Lamb</t>
  </si>
  <si>
    <t>The River Is Waiting: A Novel</t>
  </si>
  <si>
    <t>F. A. Hayek, Bruce Caldwell</t>
  </si>
  <si>
    <t>The Road to Serfdom: Text and Documents--The Definitive Edition (The Collected Works of F. A. Hayek, Volume 2)</t>
  </si>
  <si>
    <t>Daniel O'Malley</t>
  </si>
  <si>
    <t>The Rook: A Novel (The Rook Files, 1)</t>
  </si>
  <si>
    <t>Trevor Corson</t>
  </si>
  <si>
    <t>The Secret Life of Lobsters: How Fishermen and Scientists Are Unraveling the Mysteries of Our Favorite Crustacean (P.S.)</t>
  </si>
  <si>
    <t>Richard Dawkins, Lalla Ward</t>
  </si>
  <si>
    <t>The Selfish Gene</t>
  </si>
  <si>
    <t>Paul Beatty</t>
  </si>
  <si>
    <t>The Sellout: A Novel</t>
  </si>
  <si>
    <t>Shehan Karunatilaka</t>
  </si>
  <si>
    <t>The Seven Moons of Maali Almeida</t>
  </si>
  <si>
    <t>Jay Harman</t>
  </si>
  <si>
    <t>The Shark's Paintbrush: Biomimicry and How Nature Is Inspiring Innovation</t>
  </si>
  <si>
    <t>A. S. A. Harrison</t>
  </si>
  <si>
    <t>The Silent Wife: A Novel</t>
  </si>
  <si>
    <t>Mark Urban</t>
  </si>
  <si>
    <t>The Skripal Files: The Life and Near Death of a Russian Spy</t>
  </si>
  <si>
    <t>Christopher Clark</t>
  </si>
  <si>
    <t>The Sleepwalkers: How Europe Went to War in 1914</t>
  </si>
  <si>
    <t>The Soul of America: The Battle for Our Better Angels</t>
  </si>
  <si>
    <t>Erik Larson</t>
  </si>
  <si>
    <t>The Splendid and the Vile: A Saga of Churchill, Family, and Defiance During the Blitz</t>
  </si>
  <si>
    <t>The Stand</t>
  </si>
  <si>
    <t>The Startup of You: Adapt, Take Risks, Grow Your Network, and Transform Your Career</t>
  </si>
  <si>
    <t>Will Durant</t>
  </si>
  <si>
    <t>The Story of Philosophy: The Lives and Opinions of the Greater Philosophers</t>
  </si>
  <si>
    <t>The Stuff of Thought: Language as a Window into Human Nature</t>
  </si>
  <si>
    <t>Paul Bloom</t>
  </si>
  <si>
    <t>The Sweet Spot: The Pleasures of Suffering and the Search for Meaning</t>
  </si>
  <si>
    <t>Greenblatt, Stephen (1st (first) Edition) [Paperback(2012)]</t>
  </si>
  <si>
    <t>The Swerve: How the World Became Modern</t>
  </si>
  <si>
    <t>Viet Thanh Nguyen</t>
  </si>
  <si>
    <t>The Sympathizer: A Novel (Pulitzer Prize for Fiction)</t>
  </si>
  <si>
    <t>Robert Jackson Bennett</t>
  </si>
  <si>
    <t>The Tainted Cup (Shadow of the Leviathan Book 1)</t>
  </si>
  <si>
    <t>Tolbert McCarroll</t>
  </si>
  <si>
    <t>The Tao: The Sacred Way</t>
  </si>
  <si>
    <t>Alix E. Harrow, January LaVoy</t>
  </si>
  <si>
    <t>The Ten Thousand Doors of January</t>
  </si>
  <si>
    <t>Michael Kardos</t>
  </si>
  <si>
    <t>The Three-Day Affair</t>
  </si>
  <si>
    <t>Nick Chatrath</t>
  </si>
  <si>
    <t>The Threshold: Leading in the Age of AI</t>
  </si>
  <si>
    <t>Phil Stutz, Barry Michels</t>
  </si>
  <si>
    <t>The Tools: Transform Your Problems into Courage, Confidence, and Creativity</t>
  </si>
  <si>
    <t>Catherine Ryan Howard, John Keating</t>
  </si>
  <si>
    <t>The Trap</t>
  </si>
  <si>
    <t>The Travelers: A Novel</t>
  </si>
  <si>
    <t>Cara Robertson</t>
  </si>
  <si>
    <t>The Trial of Lizzie Borden</t>
  </si>
  <si>
    <t>Eric Hoffer</t>
  </si>
  <si>
    <t>The True Believer: Thoughts on the Nature of Mass Movements</t>
  </si>
  <si>
    <t>James M. Kouzes, Barry Z. Posner</t>
  </si>
  <si>
    <t>The Truth about Leadership: The No-fads, Heart-of-the-Matter Facts You Need to Know</t>
  </si>
  <si>
    <t>William Easterly</t>
  </si>
  <si>
    <t>The Tyranny of Experts: Economists, Dictators, and the Forgotten Rights of the Poor</t>
  </si>
  <si>
    <t>Ron Luciano, David Fisher</t>
  </si>
  <si>
    <t>The Umpire Strikes Back</t>
  </si>
  <si>
    <t>The Undoing Project: A Friendship That Changed Our Minds</t>
  </si>
  <si>
    <t>Nathan R. Furr</t>
  </si>
  <si>
    <t>The Upside of Uncertainty: A Guide to Finding Possibility in the Unknown</t>
  </si>
  <si>
    <t>Brit Bennett</t>
  </si>
  <si>
    <t>The Vanishing Half: A GMA Book Club Pick (A Novel)</t>
  </si>
  <si>
    <t>Joanna Schaffhausen</t>
  </si>
  <si>
    <t>The Vanishing Season: A Mystery (Ellery Hathaway Book 1)</t>
  </si>
  <si>
    <t>Our Genetic Code</t>
  </si>
  <si>
    <t>The Violinist's Thumb: And Other Lost Tales of Love, War, and Genius, as Written</t>
  </si>
  <si>
    <t>Steven W. Thrasher</t>
  </si>
  <si>
    <t>The Viral Underclass: The Human Toll When Inequality and Disease Collide</t>
  </si>
  <si>
    <t>Paolo Bacigalupi</t>
  </si>
  <si>
    <t>The Water Knife</t>
  </si>
  <si>
    <t>Brandon Sanderson</t>
  </si>
  <si>
    <t>The Way of Kings: Book One of the Stormlight Archive (The Stormlight Archive, 1)</t>
  </si>
  <si>
    <t>The Whistler</t>
  </si>
  <si>
    <t>Aravind Adiga</t>
  </si>
  <si>
    <t>The White Tiger: A Novel</t>
  </si>
  <si>
    <t>Richard Price</t>
  </si>
  <si>
    <t>The Whites</t>
  </si>
  <si>
    <t>Fiona Barton</t>
  </si>
  <si>
    <t>The Widow</t>
  </si>
  <si>
    <t>The Will of the Many (Hierarchy)</t>
  </si>
  <si>
    <t>Haruki Murakami, Jay Rubin</t>
  </si>
  <si>
    <t>The Wind-Up Bird Chronicle</t>
  </si>
  <si>
    <t>Rupert Degas, Haruki Murakami</t>
  </si>
  <si>
    <t>The Wind-Up Bird Chronicle: A Novel</t>
  </si>
  <si>
    <t>Jennifer McMahon</t>
  </si>
  <si>
    <t>The Winter People: A Suspense Thriller</t>
  </si>
  <si>
    <t>Walter Isaacson, Evan Thomas</t>
  </si>
  <si>
    <t>The Wise Men: Six Friends and the World They Made</t>
  </si>
  <si>
    <t>Claire Messud</t>
  </si>
  <si>
    <t>The Woman Upstairs</t>
  </si>
  <si>
    <t>Emma Donoghue</t>
  </si>
  <si>
    <t>The Wonder</t>
  </si>
  <si>
    <t>Anthony Horowitz</t>
  </si>
  <si>
    <t>The Word Is Murder: A Mindbending Metafictional Murder Mystery (A Hawthorne and Horowitz Mystery, 1)</t>
  </si>
  <si>
    <t>Robert L. Leahy Phd</t>
  </si>
  <si>
    <t>The Worry Cure: Seven Steps to Stop Worry from Stopping You</t>
  </si>
  <si>
    <t>Scotland Yard's Murder Squad</t>
  </si>
  <si>
    <t>Alex Grecian</t>
  </si>
  <si>
    <t>The Yard</t>
  </si>
  <si>
    <t>Sunjeev Sahota</t>
  </si>
  <si>
    <t>The Year of the Runaways: A novel</t>
  </si>
  <si>
    <t>Kevin Powers</t>
  </si>
  <si>
    <t>The Yellow Birds: A Novel</t>
  </si>
  <si>
    <t>Sarah M. Broom</t>
  </si>
  <si>
    <t>The Yellow House: A Memoir (2019 National Book Award Winner)</t>
  </si>
  <si>
    <t>Dr. Christof Koch PhD</t>
  </si>
  <si>
    <t>Then I Am Myself the World: What Consciousness Is and How to Expand It</t>
  </si>
  <si>
    <t>Then She Was Gone: A Novel</t>
  </si>
  <si>
    <t>Ray Brighton</t>
  </si>
  <si>
    <t>They Came to Fish: A Brief Look at Portmouth's 350 Years of History : Its Local and World-Wide Involvements, and the People Concerned, Through the</t>
  </si>
  <si>
    <t>Roger Wayne, David Flink</t>
  </si>
  <si>
    <t>Thinking Differently: An Inspiring Guide for Parents of Children with Learning Disabilities</t>
  </si>
  <si>
    <t>Thinking in Bets: Making Smarter Decisions When You Don't Have All the Facts</t>
  </si>
  <si>
    <t>Thinner (The Bachman Books)</t>
  </si>
  <si>
    <t>Amal El-Mohtar, Max Gladstone</t>
  </si>
  <si>
    <t>This Is How You Lose the Time War</t>
  </si>
  <si>
    <t>Jamie Mason</t>
  </si>
  <si>
    <t>Three Graves Full</t>
  </si>
  <si>
    <t>Friedrich Nietzsche, Christopher Oxford</t>
  </si>
  <si>
    <t>Thus Spoke Zarathustra: A Book for All and None</t>
  </si>
  <si>
    <t>Paul Levine</t>
  </si>
  <si>
    <t>TO SPEAK FOR THE DEAD (Jake Lassiter Legal Thrillers Book 1)</t>
  </si>
  <si>
    <t>Andy Greenberg</t>
  </si>
  <si>
    <t>Tracers in the Dark: The Global Hunt for the Crime Lords of Cryptocurrency</t>
  </si>
  <si>
    <t>Gino Wickman</t>
  </si>
  <si>
    <t>Traction: Get a Grip on Your Business</t>
  </si>
  <si>
    <t>Colum McCann</t>
  </si>
  <si>
    <t>TransAtlantic: A Novel</t>
  </si>
  <si>
    <t>MacKenzie Bezos</t>
  </si>
  <si>
    <t>Traps</t>
  </si>
  <si>
    <t>Edward Glaeser</t>
  </si>
  <si>
    <t>Triumph of the City: How Our Greatest Invention Makes Us Richer, Smarter, Greener, Healthier, and Happier</t>
  </si>
  <si>
    <t>Kate Racculia</t>
  </si>
  <si>
    <t>Tuesday Mooney Talks To Ghosts</t>
  </si>
  <si>
    <t>John Green</t>
  </si>
  <si>
    <t>Turtles All the Way Down</t>
  </si>
  <si>
    <t>Twelve Caesars: Images of Power from the Ancient World to the Modern</t>
  </si>
  <si>
    <t>Randall Silvis</t>
  </si>
  <si>
    <t>Two Days Gone: A Literary Thriller (Ryan DeMarco Mystery, 1)</t>
  </si>
  <si>
    <t>John McPhee</t>
  </si>
  <si>
    <t>Uncommon Carriers</t>
  </si>
  <si>
    <t>Daniel Brown</t>
  </si>
  <si>
    <t>Under a Flaming Sky: The Great Hinckley Firestorm of 1894</t>
  </si>
  <si>
    <t>David Burkus</t>
  </si>
  <si>
    <t>Under New Management: How Leading Organizations Are Upending Business As Usual</t>
  </si>
  <si>
    <t>Tim Wise</t>
  </si>
  <si>
    <t>Under the Affluence: Shaming the Poor, Praising the Rich and Sacrificing the Future of America (City Lights Open Media)</t>
  </si>
  <si>
    <t>Jon Krakauer</t>
  </si>
  <si>
    <t>Under the Banner of Heaven: A Story of Violent Faith</t>
  </si>
  <si>
    <t>Brian W Kernighan</t>
  </si>
  <si>
    <t>UNIX: A History and a Memoir</t>
  </si>
  <si>
    <t>Jennifer Garvey Berger</t>
  </si>
  <si>
    <t>Unlocking Leadership Mindtraps: How to Thrive in Complexity</t>
  </si>
  <si>
    <t>Cynthia Kersey</t>
  </si>
  <si>
    <t>Unstoppable: 45 Powerful Stories of Perseverance and Triumph from People Just Like You</t>
  </si>
  <si>
    <t>Glennon Doyle</t>
  </si>
  <si>
    <t>Untamed: Reese's Book Club</t>
  </si>
  <si>
    <t>Lisa Damour Ph.D.</t>
  </si>
  <si>
    <t>Untangled: Guiding Teenage Girls Through the Seven Transitions into Adulthood</t>
  </si>
  <si>
    <t>Stuart Taylor Jr., KC Johnson</t>
  </si>
  <si>
    <t>Until Proven Innocent: Political Correctness and the Shameful Injustices of the Duke Lacrosse Rape Case</t>
  </si>
  <si>
    <t>Caroline Fleck PhD</t>
  </si>
  <si>
    <t>Validation: How the Skill Set That Revolutionized Psychology Will Transform Your Relationships, Increase Your Influence, and Change Your Life</t>
  </si>
  <si>
    <t>Kevin Henkes</t>
  </si>
  <si>
    <t>Waiting: A Caldecott Honor Award Winner</t>
  </si>
  <si>
    <t>Ha Jin</t>
  </si>
  <si>
    <t>Waiting: A Novel</t>
  </si>
  <si>
    <t>Debby Irving</t>
  </si>
  <si>
    <t>Waking Up White, and Finding Myself in the Story of Race</t>
  </si>
  <si>
    <t>Wanderer's Odyssey Book 1</t>
  </si>
  <si>
    <t>Simon Goodson</t>
  </si>
  <si>
    <t>Wanderer's Escape</t>
  </si>
  <si>
    <t>Lisa Randall</t>
  </si>
  <si>
    <t>Warped Passages: Unraveling the Mysteries of the Universe's Hidden Dimensions – A New York Times Notable Book: Brilliantly Clear Relativity and Quantum Mechanics</t>
  </si>
  <si>
    <t>Sara Gruen</t>
  </si>
  <si>
    <t>Water for Elephants: A Novel</t>
  </si>
  <si>
    <t>Sonali Deraniyagala</t>
  </si>
  <si>
    <t>Wave</t>
  </si>
  <si>
    <t>Jenna Coleman, Jojo Moyes</t>
  </si>
  <si>
    <t>We All Live Here: A Novel</t>
  </si>
  <si>
    <t>Julia Heaberlin</t>
  </si>
  <si>
    <t>We Are All the Same in the Dark: A Novel</t>
  </si>
  <si>
    <t>We Are Water: A Novel</t>
  </si>
  <si>
    <t>Hafsah Faizal</t>
  </si>
  <si>
    <t>We Hunt the Flame (Sands of Arawiya, 1)</t>
  </si>
  <si>
    <t>We Live in Water: Stories</t>
  </si>
  <si>
    <t>Erwin Chemerinsky</t>
  </si>
  <si>
    <t>We the People: A Progressive Reading of the Constitution for the Twenty-First Century</t>
  </si>
  <si>
    <t>We Were the Mulvaneys</t>
  </si>
  <si>
    <t>Cathy O'Neil</t>
  </si>
  <si>
    <t>Weapons of Math Destruction: How Big Data Increases Inequality and Threatens Democracy</t>
  </si>
  <si>
    <t>Lynda Rutledge</t>
  </si>
  <si>
    <t>West with Giraffes: A Novel</t>
  </si>
  <si>
    <t>W.M. Akers</t>
  </si>
  <si>
    <t>Westside: A Novel (A Gilda Carr Tiny Mystery)</t>
  </si>
  <si>
    <t>John E. Nelson, Richard N. Bolles</t>
  </si>
  <si>
    <t>What Color Is Your Parachute? for Retirement, Second Edition: Planning a Prosperous, Healthy, and Happy Future (What Color Is Your Parachute? for Retirement: Planning Now for the)</t>
  </si>
  <si>
    <t>Kobi Yamada, Mae Besom</t>
  </si>
  <si>
    <t>What Do You Do With an Idea? — New York Times best seller</t>
  </si>
  <si>
    <t>Oprah Winfrey, Bruce D. Perry</t>
  </si>
  <si>
    <t>What Happened to You?: Conversations on Trauma, Resilience, and Healing</t>
  </si>
  <si>
    <t>John Brockman</t>
  </si>
  <si>
    <t>What Have You Changed Your Mind About?: Today's Leading Minds Rethink Everything (Edge Question Series)</t>
  </si>
  <si>
    <t>Randall Munroe</t>
  </si>
  <si>
    <t>What If?: Serious Scientific Answers to Absurd Hypothetical Questions</t>
  </si>
  <si>
    <t>Stephen Wolfram</t>
  </si>
  <si>
    <t>What Is ChatGPT Doing ... and Why Does It Work?</t>
  </si>
  <si>
    <t>Laurel Braitman</t>
  </si>
  <si>
    <t>What Looks Like Bravery: An Epic Journey Through Loss to Love</t>
  </si>
  <si>
    <t>Gilly Macmillan</t>
  </si>
  <si>
    <t>What She Knew: A Novel</t>
  </si>
  <si>
    <t>Garry Wills</t>
  </si>
  <si>
    <t>What the Qur'an Meant: And Why It Matters</t>
  </si>
  <si>
    <t>Tim Conway, Jane Scovell</t>
  </si>
  <si>
    <t>What's So Funny?: My Hilarious Life</t>
  </si>
  <si>
    <t>Paul Kalanithi, Abraham Verghese</t>
  </si>
  <si>
    <t>When Breath Becomes Air</t>
  </si>
  <si>
    <t>When I Found You</t>
  </si>
  <si>
    <t>Manuel J. Smith</t>
  </si>
  <si>
    <t>When I Say No, I Feel Guilty</t>
  </si>
  <si>
    <t>David M. Glantz, Jonathan M. House</t>
  </si>
  <si>
    <t>When Titans Clashed: How the Red Army Stopped Hitler (Modern War Studies)</t>
  </si>
  <si>
    <t>Benjamín Labatut, Adrian Nathan West</t>
  </si>
  <si>
    <t>When We Cease to Understand the World</t>
  </si>
  <si>
    <t>Amy Harmon</t>
  </si>
  <si>
    <t>Where the Lost Wander: A Novel</t>
  </si>
  <si>
    <t>Katie Hafner</t>
  </si>
  <si>
    <t>Where Wizards Stay Up Late: The Origins Of The Internet</t>
  </si>
  <si>
    <t>Ursula Burns</t>
  </si>
  <si>
    <t>Where You Are Is Not Who You Are: A Memoir</t>
  </si>
  <si>
    <t>Jennifer Ashley</t>
  </si>
  <si>
    <t>White Tiger (A Shifters Unbound Novel Book 8)</t>
  </si>
  <si>
    <t>Kylie Chan</t>
  </si>
  <si>
    <t>White Tiger: The First Dark Heavens Urban Fantasy – Chinese Gods, Kung Fu, and Paranormal Romance Collide (Dark Heavens Trilogy Book 1)</t>
  </si>
  <si>
    <t>Jaron Lanier</t>
  </si>
  <si>
    <t>Who Owns the Future?</t>
  </si>
  <si>
    <t>Rebecca Solnit</t>
  </si>
  <si>
    <t>Whose Story Is This?: Old Conflicts, New Chapters</t>
  </si>
  <si>
    <t>Lulu Miller</t>
  </si>
  <si>
    <t>Why Fish Don't Exist: A Story of Loss, Love, and the Hidden Order of Life</t>
  </si>
  <si>
    <t>Ian Morris, Antony Ferguson</t>
  </si>
  <si>
    <t>Why the West Rules - for Now: The Patterns of History, and What They Reveal About the Future</t>
  </si>
  <si>
    <t>Charan Ranganath PhD</t>
  </si>
  <si>
    <t>Why We Remember: Unlocking Memory's Power to Hold on to What Matters</t>
  </si>
  <si>
    <t>Robert M. Sapolsky</t>
  </si>
  <si>
    <t>Why Zebras Don't Get Ulcers, Third Edition</t>
  </si>
  <si>
    <t>Soren Gordhamer</t>
  </si>
  <si>
    <t>Wisdom 2.0: The New Movement Toward Purposeful Engagement in Business and in Life</t>
  </si>
  <si>
    <t>The Rising World Book 1</t>
  </si>
  <si>
    <t>Martha Wells</t>
  </si>
  <si>
    <t>Witch King</t>
  </si>
  <si>
    <t>Meredith Hall</t>
  </si>
  <si>
    <t>Without a Map: A Memoir</t>
  </si>
  <si>
    <t>Margaret Willson</t>
  </si>
  <si>
    <t>Woman, Captain, Rebel: The Extraordinary True Story of a Daring Icelandic Sea Captain</t>
  </si>
  <si>
    <t>Words and Rules: The Ingredients Of Language</t>
  </si>
  <si>
    <t>Max Brooks</t>
  </si>
  <si>
    <t>World War Z: An Oral History of the Zombie War</t>
  </si>
  <si>
    <t>Bernard Kamoroff</t>
  </si>
  <si>
    <t>Write It Off! Deduct It!</t>
  </si>
  <si>
    <t>Yellowface: A Novel</t>
  </si>
  <si>
    <t>You Are Not a Gadget</t>
  </si>
  <si>
    <t>Paul Kix</t>
  </si>
  <si>
    <t>You Have to Be Prepared to Die Before You Can Begin to Live: Ten Weeks in Birmingham That Changed America</t>
  </si>
  <si>
    <t>Laura Silber, Allan Little</t>
  </si>
  <si>
    <t>Yugoslavia: Death of a Nation</t>
  </si>
  <si>
    <t>Reza Aslan</t>
  </si>
  <si>
    <t>Zealot: The Life and Times of Jesus of Nazareth</t>
  </si>
  <si>
    <t>Zeitoun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</si>
</sst>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1">
    <font>
      <sz val="10.0"/>
      <color rgb="FF000000"/>
      <name val="Arial"/>
      <scheme val="minor"/>
    </font>
    <font>
      <b/>
      <color theme="1"/>
      <name val="Google Sans Text"/>
    </font>
    <font>
      <b/>
      <u/>
      <color rgb="FF0000FF"/>
      <name val="Google Sans Text"/>
    </font>
    <font>
      <u/>
      <color rgb="FF1155CC"/>
      <name val="Google Sans Text"/>
    </font>
    <font>
      <u/>
      <color rgb="FF1155CC"/>
      <name val="Google Sans Text"/>
    </font>
    <font>
      <color theme="1"/>
      <name val="Arial"/>
    </font>
    <font>
      <color theme="1"/>
      <name val="Google Sans Text"/>
    </font>
    <font>
      <color rgb="FF3C78D8"/>
      <name val="Arial"/>
    </font>
    <font>
      <color rgb="FF222222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sz val="12.0"/>
      <color rgb="FF666666"/>
      <name val="Arial"/>
    </font>
    <font>
      <u/>
      <color rgb="FF1155CC"/>
      <name val="Google Sans Text"/>
    </font>
    <font>
      <u/>
      <color rgb="FF1155CC"/>
      <name val="Google Sans Text"/>
    </font>
    <font>
      <color rgb="FF000000"/>
      <name val="Arial"/>
    </font>
    <font>
      <u/>
      <color rgb="FFFF0000"/>
      <name val="Arial"/>
    </font>
    <font>
      <u/>
      <color rgb="FFFF0000"/>
      <name val="Arial"/>
    </font>
    <font>
      <u/>
      <color rgb="FF0000FF"/>
      <name val="Arial"/>
    </font>
    <font>
      <u/>
      <color rgb="FF1155CC"/>
      <name val="Google Sans Text"/>
    </font>
    <font>
      <u/>
      <color rgb="FF0000FF"/>
    </font>
    <font>
      <u/>
      <color rgb="FF1155CC"/>
      <name val="Google Sans Text"/>
    </font>
    <font>
      <color rgb="FF9900FF"/>
      <name val="Google Sans Text"/>
    </font>
    <font>
      <u/>
      <color rgb="FF9900FF"/>
      <name val="Google Sans Text"/>
    </font>
    <font>
      <u/>
      <color rgb="FF1155CC"/>
      <name val="Arial"/>
    </font>
    <font>
      <u/>
      <color rgb="FF9900FF"/>
      <name val="Arial"/>
    </font>
    <font>
      <u/>
      <color rgb="FF0000FF"/>
      <name val="Arial"/>
    </font>
    <font>
      <u/>
      <color rgb="FF1155CC"/>
      <name val="Google Sans Text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color rgb="FF999999"/>
      <name val="Arial"/>
    </font>
    <font>
      <u/>
      <color rgb="FF1155CC"/>
      <name val="Google Sans Text"/>
    </font>
    <font>
      <u/>
      <color rgb="FF0000FF"/>
    </font>
    <font>
      <u/>
      <color rgb="FF0000FF"/>
    </font>
    <font>
      <color rgb="FF0F1111"/>
      <name val="&quot;Amazon Ember&quot;"/>
    </font>
    <font>
      <color rgb="FF0F1111"/>
      <name val="Arial"/>
    </font>
    <font>
      <u/>
      <color rgb="FF0000FF"/>
      <name val="Arial"/>
    </font>
    <font>
      <u/>
      <color rgb="FF1155CC"/>
      <name val="Google Sans Text"/>
    </font>
    <font>
      <u/>
      <color rgb="FF1155CC"/>
      <name val="Google Sans Text"/>
    </font>
    <font>
      <u/>
      <color rgb="FFFF0000"/>
      <name val="Arial"/>
    </font>
    <font>
      <u/>
      <color rgb="FFFF0000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FF0000"/>
      <name val="Arial"/>
    </font>
    <font>
      <u/>
      <color rgb="FF1155CC"/>
      <name val="Arial"/>
    </font>
    <font>
      <color rgb="FF000000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Google Sans Text"/>
    </font>
    <font>
      <color rgb="FF980000"/>
      <name val="Arial"/>
    </font>
    <font>
      <u/>
      <color rgb="FF222222"/>
      <name val="Arial"/>
    </font>
    <font>
      <u/>
      <color rgb="FF1155CC"/>
      <name val="Arial"/>
    </font>
    <font>
      <u/>
      <color rgb="FFFF0000"/>
      <name val="Arial"/>
    </font>
    <font>
      <u/>
      <color rgb="FFFF0000"/>
      <name val="Arial"/>
    </font>
    <font>
      <u/>
      <color rgb="FF9900FF"/>
      <name val="Arial"/>
    </font>
    <font>
      <u/>
      <color rgb="FF9900FF"/>
      <name val="Arial"/>
    </font>
    <font>
      <u/>
      <color rgb="FF0F1111"/>
      <name val="Amazon Ember"/>
    </font>
    <font>
      <u/>
      <color rgb="FF0F1111"/>
      <name val="Amazon Ember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EFC2"/>
        <bgColor rgb="FFFFEFC2"/>
      </patternFill>
    </fill>
    <fill>
      <patternFill patternType="solid">
        <fgColor rgb="FFB7B7B7"/>
        <bgColor rgb="FFB7B7B7"/>
      </patternFill>
    </fill>
    <fill>
      <patternFill patternType="solid">
        <fgColor rgb="FFFBF9D5"/>
        <bgColor rgb="FFFBF9D5"/>
      </patternFill>
    </fill>
    <fill>
      <patternFill patternType="solid">
        <fgColor rgb="FFEFEFEF"/>
        <bgColor rgb="FFEFEFEF"/>
      </patternFill>
    </fill>
    <fill>
      <patternFill patternType="solid">
        <fgColor rgb="FFF2DFF2"/>
        <bgColor rgb="FFF2DFF2"/>
      </patternFill>
    </fill>
    <fill>
      <patternFill patternType="solid">
        <fgColor rgb="FFFFF3F9"/>
        <bgColor rgb="FFFFF3F9"/>
      </patternFill>
    </fill>
    <fill>
      <patternFill patternType="solid">
        <fgColor rgb="FFEEF4EC"/>
        <bgColor rgb="FFEEF4EC"/>
      </patternFill>
    </fill>
  </fills>
  <borders count="4">
    <border/>
    <border>
      <left style="thin">
        <color rgb="FFF3F3F3"/>
      </left>
    </border>
    <border>
      <right style="thin">
        <color rgb="FFFFE599"/>
      </right>
    </border>
    <border>
      <left style="thin">
        <color rgb="FFFFE599"/>
      </left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1" fillId="2" fontId="2" numFmtId="0" xfId="0" applyAlignment="1" applyBorder="1" applyFont="1">
      <alignment horizontal="left" readingOrder="0" shrinkToFit="0" vertical="bottom" wrapText="0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shrinkToFit="0" vertical="bottom" wrapText="0"/>
    </xf>
    <xf borderId="0" fillId="3" fontId="3" numFmtId="0" xfId="0" applyAlignment="1" applyFill="1" applyFont="1">
      <alignment horizontal="left" shrinkToFit="0" vertical="bottom" wrapText="0"/>
    </xf>
    <xf borderId="1" fillId="3" fontId="4" numFmtId="0" xfId="0" applyAlignment="1" applyBorder="1" applyFont="1">
      <alignment horizontal="left" shrinkToFit="0" vertical="bottom" wrapText="0"/>
    </xf>
    <xf borderId="0" fillId="3" fontId="5" numFmtId="0" xfId="0" applyAlignment="1" applyFont="1">
      <alignment horizontal="center" vertical="bottom"/>
    </xf>
    <xf borderId="0" fillId="3" fontId="6" numFmtId="0" xfId="0" applyAlignment="1" applyFont="1">
      <alignment horizontal="center" vertical="bottom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readingOrder="0" shrinkToFit="0" vertical="bottom" wrapText="0"/>
    </xf>
    <xf borderId="0" fillId="3" fontId="5" numFmtId="0" xfId="0" applyAlignment="1" applyFont="1">
      <alignment vertical="bottom"/>
    </xf>
    <xf borderId="0" fillId="3" fontId="6" numFmtId="0" xfId="0" applyAlignment="1" applyFont="1">
      <alignment readingOrder="0" vertical="bottom"/>
    </xf>
    <xf borderId="0" fillId="3" fontId="7" numFmtId="0" xfId="0" applyAlignment="1" applyFont="1">
      <alignment shrinkToFit="0" vertical="bottom" wrapText="0"/>
    </xf>
    <xf borderId="0" fillId="3" fontId="8" numFmtId="0" xfId="0" applyAlignment="1" applyFont="1">
      <alignment readingOrder="0"/>
    </xf>
    <xf borderId="0" fillId="3" fontId="7" numFmtId="0" xfId="0" applyAlignment="1" applyFont="1">
      <alignment vertical="bottom"/>
    </xf>
    <xf borderId="0" fillId="3" fontId="9" numFmtId="0" xfId="0" applyFont="1"/>
    <xf borderId="0" fillId="4" fontId="10" numFmtId="0" xfId="0" applyAlignment="1" applyFill="1" applyFont="1">
      <alignment readingOrder="0" vertical="bottom"/>
    </xf>
    <xf borderId="1" fillId="4" fontId="10" numFmtId="0" xfId="0" applyAlignment="1" applyBorder="1" applyFont="1">
      <alignment vertical="bottom"/>
    </xf>
    <xf borderId="0" fillId="4" fontId="5" numFmtId="0" xfId="0" applyAlignment="1" applyFont="1">
      <alignment horizontal="center" vertical="bottom"/>
    </xf>
    <xf borderId="0" fillId="4" fontId="6" numFmtId="0" xfId="0" applyAlignment="1" applyFont="1">
      <alignment horizontal="center" vertical="bottom"/>
    </xf>
    <xf borderId="0" fillId="4" fontId="5" numFmtId="0" xfId="0" applyAlignment="1" applyFont="1">
      <alignment vertical="bottom"/>
    </xf>
    <xf borderId="0" fillId="4" fontId="5" numFmtId="0" xfId="0" applyAlignment="1" applyFont="1">
      <alignment shrinkToFit="0" vertical="bottom" wrapText="0"/>
    </xf>
    <xf quotePrefix="1" borderId="0" fillId="5" fontId="11" numFmtId="0" xfId="0" applyAlignment="1" applyFill="1" applyFont="1">
      <alignment horizontal="left" readingOrder="0" vertical="bottom"/>
    </xf>
    <xf borderId="1" fillId="5" fontId="11" numFmtId="0" xfId="0" applyAlignment="1" applyBorder="1" applyFont="1">
      <alignment horizontal="left" readingOrder="0" vertical="bottom"/>
    </xf>
    <xf borderId="0" fillId="5" fontId="5" numFmtId="0" xfId="0" applyAlignment="1" applyFont="1">
      <alignment horizontal="left" vertical="bottom"/>
    </xf>
    <xf borderId="0" fillId="5" fontId="6" numFmtId="0" xfId="0" applyAlignment="1" applyFont="1">
      <alignment horizontal="left" vertical="bottom"/>
    </xf>
    <xf borderId="0" fillId="5" fontId="5" numFmtId="0" xfId="0" applyAlignment="1" applyFont="1">
      <alignment horizontal="left" shrinkToFit="0" vertical="bottom" wrapText="0"/>
    </xf>
    <xf borderId="0" fillId="0" fontId="12" numFmtId="0" xfId="0" applyAlignment="1" applyFont="1">
      <alignment horizontal="left" shrinkToFit="0" vertical="bottom" wrapText="0"/>
    </xf>
    <xf borderId="1" fillId="0" fontId="13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horizontal="left" shrinkToFit="0" vertical="bottom" wrapText="0"/>
    </xf>
    <xf borderId="1" fillId="0" fontId="16" numFmtId="0" xfId="0" applyAlignment="1" applyBorder="1" applyFont="1">
      <alignment horizontal="left" shrinkToFit="0" vertical="bottom" wrapText="0"/>
    </xf>
    <xf borderId="1" fillId="0" fontId="17" numFmtId="0" xfId="0" applyAlignment="1" applyBorder="1" applyFont="1">
      <alignment horizontal="left" readingOrder="0" shrinkToFit="0" vertical="bottom" wrapText="0"/>
    </xf>
    <xf borderId="1" fillId="3" fontId="18" numFmtId="0" xfId="0" applyAlignment="1" applyBorder="1" applyFont="1">
      <alignment horizontal="left" readingOrder="0" shrinkToFit="0" vertical="bottom" wrapText="0"/>
    </xf>
    <xf borderId="0" fillId="3" fontId="14" numFmtId="0" xfId="0" applyAlignment="1" applyFont="1">
      <alignment shrinkToFit="0" vertical="bottom" wrapText="0"/>
    </xf>
    <xf borderId="0" fillId="0" fontId="19" numFmtId="0" xfId="0" applyAlignment="1" applyFont="1">
      <alignment readingOrder="0"/>
    </xf>
    <xf borderId="0" fillId="6" fontId="20" numFmtId="0" xfId="0" applyAlignment="1" applyFill="1" applyFont="1">
      <alignment horizontal="left" shrinkToFit="0" vertical="bottom" wrapText="0"/>
    </xf>
    <xf borderId="0" fillId="6" fontId="21" numFmtId="0" xfId="0" applyAlignment="1" applyFont="1">
      <alignment horizontal="left" readingOrder="0" shrinkToFit="0" vertical="bottom" wrapText="0"/>
    </xf>
    <xf borderId="0" fillId="6" fontId="5" numFmtId="0" xfId="0" applyAlignment="1" applyFont="1">
      <alignment horizontal="center" readingOrder="0" vertical="bottom"/>
    </xf>
    <xf borderId="0" fillId="6" fontId="5" numFmtId="164" xfId="0" applyAlignment="1" applyFont="1" applyNumberFormat="1">
      <alignment horizontal="center" readingOrder="0" vertical="bottom"/>
    </xf>
    <xf borderId="0" fillId="6" fontId="5" numFmtId="0" xfId="0" applyAlignment="1" applyFont="1">
      <alignment readingOrder="0" vertical="bottom"/>
    </xf>
    <xf borderId="0" fillId="6" fontId="5" numFmtId="0" xfId="0" applyAlignment="1" applyFont="1">
      <alignment readingOrder="0" shrinkToFit="0" vertical="bottom" wrapText="0"/>
    </xf>
    <xf borderId="0" fillId="6" fontId="5" numFmtId="0" xfId="0" applyAlignment="1" applyFont="1">
      <alignment vertical="bottom"/>
    </xf>
    <xf borderId="0" fillId="6" fontId="14" numFmtId="0" xfId="0" applyAlignment="1" applyFont="1">
      <alignment shrinkToFit="0" vertical="bottom" wrapText="0"/>
    </xf>
    <xf borderId="0" fillId="3" fontId="21" numFmtId="0" xfId="0" applyAlignment="1" applyFont="1">
      <alignment horizontal="left" readingOrder="0" shrinkToFit="0" vertical="bottom" wrapText="0"/>
    </xf>
    <xf borderId="0" fillId="0" fontId="5" numFmtId="164" xfId="0" applyAlignment="1" applyFont="1" applyNumberFormat="1">
      <alignment horizontal="center" readingOrder="0" vertical="bottom"/>
    </xf>
    <xf borderId="1" fillId="3" fontId="22" numFmtId="0" xfId="0" applyAlignment="1" applyBorder="1" applyFont="1">
      <alignment horizontal="left" readingOrder="0" shrinkToFit="0" vertical="bottom" wrapText="0"/>
    </xf>
    <xf borderId="0" fillId="0" fontId="23" numFmtId="0" xfId="0" applyAlignment="1" applyFont="1">
      <alignment horizontal="left" shrinkToFit="0" vertical="bottom" wrapText="0"/>
    </xf>
    <xf borderId="1" fillId="0" fontId="24" numFmtId="0" xfId="0" applyAlignment="1" applyBorder="1" applyFont="1">
      <alignment horizontal="left" readingOrder="0" shrinkToFit="0" vertical="bottom" wrapText="0"/>
    </xf>
    <xf borderId="0" fillId="0" fontId="5" numFmtId="164" xfId="0" applyAlignment="1" applyFont="1" applyNumberFormat="1">
      <alignment vertical="bottom"/>
    </xf>
    <xf borderId="0" fillId="0" fontId="25" numFmtId="0" xfId="0" applyAlignment="1" applyFont="1">
      <alignment readingOrder="0" vertical="bottom"/>
    </xf>
    <xf borderId="1" fillId="0" fontId="26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7" fontId="27" numFmtId="0" xfId="0" applyAlignment="1" applyFill="1" applyFont="1">
      <alignment horizontal="left" shrinkToFit="0" vertical="bottom" wrapText="0"/>
    </xf>
    <xf borderId="1" fillId="7" fontId="28" numFmtId="0" xfId="0" applyAlignment="1" applyBorder="1" applyFont="1">
      <alignment horizontal="left" readingOrder="0" shrinkToFit="0" vertical="bottom" wrapText="0"/>
    </xf>
    <xf borderId="0" fillId="7" fontId="5" numFmtId="0" xfId="0" applyAlignment="1" applyFont="1">
      <alignment horizontal="center" vertical="bottom"/>
    </xf>
    <xf borderId="0" fillId="7" fontId="5" numFmtId="164" xfId="0" applyAlignment="1" applyFont="1" applyNumberFormat="1">
      <alignment horizontal="center" readingOrder="0" vertical="bottom"/>
    </xf>
    <xf borderId="0" fillId="7" fontId="5" numFmtId="0" xfId="0" applyAlignment="1" applyFont="1">
      <alignment readingOrder="0" vertical="bottom"/>
    </xf>
    <xf borderId="0" fillId="7" fontId="5" numFmtId="164" xfId="0" applyAlignment="1" applyFont="1" applyNumberFormat="1">
      <alignment vertical="bottom"/>
    </xf>
    <xf borderId="0" fillId="7" fontId="5" numFmtId="0" xfId="0" applyAlignment="1" applyFont="1">
      <alignment vertical="bottom"/>
    </xf>
    <xf borderId="1" fillId="0" fontId="29" numFmtId="0" xfId="0" applyAlignment="1" applyBorder="1" applyFont="1">
      <alignment horizontal="left" readingOrder="0" shrinkToFit="0" vertical="bottom" wrapText="0"/>
    </xf>
    <xf borderId="0" fillId="8" fontId="30" numFmtId="0" xfId="0" applyAlignment="1" applyFill="1" applyFont="1">
      <alignment horizontal="left" shrinkToFit="0" vertical="bottom" wrapText="0"/>
    </xf>
    <xf borderId="1" fillId="8" fontId="31" numFmtId="0" xfId="0" applyAlignment="1" applyBorder="1" applyFont="1">
      <alignment horizontal="left" readingOrder="0" shrinkToFit="0" vertical="bottom" wrapText="0"/>
    </xf>
    <xf borderId="0" fillId="8" fontId="5" numFmtId="0" xfId="0" applyAlignment="1" applyFont="1">
      <alignment horizontal="center" vertical="bottom"/>
    </xf>
    <xf borderId="0" fillId="8" fontId="5" numFmtId="164" xfId="0" applyAlignment="1" applyFont="1" applyNumberFormat="1">
      <alignment horizontal="center" readingOrder="0" vertical="bottom"/>
    </xf>
    <xf borderId="0" fillId="8" fontId="5" numFmtId="0" xfId="0" applyAlignment="1" applyFont="1">
      <alignment readingOrder="0" vertical="bottom"/>
    </xf>
    <xf borderId="0" fillId="8" fontId="5" numFmtId="0" xfId="0" applyAlignment="1" applyFont="1">
      <alignment vertical="bottom"/>
    </xf>
    <xf borderId="0" fillId="8" fontId="5" numFmtId="164" xfId="0" applyAlignment="1" applyFont="1" applyNumberFormat="1">
      <alignment vertical="bottom"/>
    </xf>
    <xf borderId="2" fillId="5" fontId="11" numFmtId="0" xfId="0" applyAlignment="1" applyBorder="1" applyFont="1">
      <alignment horizontal="left" readingOrder="0" vertical="bottom"/>
    </xf>
    <xf borderId="3" fillId="5" fontId="11" numFmtId="0" xfId="0" applyAlignment="1" applyBorder="1" applyFont="1">
      <alignment horizontal="left" readingOrder="0" vertical="bottom"/>
    </xf>
    <xf borderId="0" fillId="9" fontId="32" numFmtId="0" xfId="0" applyAlignment="1" applyFill="1" applyFont="1">
      <alignment horizontal="left" shrinkToFit="0" vertical="bottom" wrapText="0"/>
    </xf>
    <xf borderId="0" fillId="9" fontId="33" numFmtId="0" xfId="0" applyAlignment="1" applyFont="1">
      <alignment readingOrder="0"/>
    </xf>
    <xf borderId="0" fillId="9" fontId="5" numFmtId="0" xfId="0" applyAlignment="1" applyFont="1">
      <alignment horizontal="center" vertical="bottom"/>
    </xf>
    <xf borderId="0" fillId="9" fontId="5" numFmtId="0" xfId="0" applyAlignment="1" applyFont="1">
      <alignment horizontal="center" readingOrder="0" vertical="bottom"/>
    </xf>
    <xf borderId="0" fillId="9" fontId="5" numFmtId="0" xfId="0" applyAlignment="1" applyFont="1">
      <alignment readingOrder="0" vertical="bottom"/>
    </xf>
    <xf borderId="0" fillId="9" fontId="5" numFmtId="0" xfId="0" applyAlignment="1" applyFont="1">
      <alignment readingOrder="0" shrinkToFit="0" vertical="bottom" wrapText="0"/>
    </xf>
    <xf borderId="0" fillId="9" fontId="5" numFmtId="0" xfId="0" applyAlignment="1" applyFont="1">
      <alignment vertical="bottom"/>
    </xf>
    <xf borderId="0" fillId="9" fontId="14" numFmtId="0" xfId="0" applyAlignment="1" applyFont="1">
      <alignment shrinkToFit="0" vertical="bottom" wrapText="0"/>
    </xf>
    <xf borderId="0" fillId="0" fontId="34" numFmtId="0" xfId="0" applyAlignment="1" applyFont="1">
      <alignment readingOrder="0"/>
    </xf>
    <xf borderId="0" fillId="3" fontId="35" numFmtId="0" xfId="0" applyAlignment="1" applyFont="1">
      <alignment readingOrder="0"/>
    </xf>
    <xf borderId="0" fillId="3" fontId="36" numFmtId="0" xfId="0" applyAlignment="1" applyFont="1">
      <alignment readingOrder="0"/>
    </xf>
    <xf borderId="0" fillId="3" fontId="37" numFmtId="0" xfId="0" applyAlignment="1" applyFont="1">
      <alignment readingOrder="0"/>
    </xf>
    <xf borderId="0" fillId="7" fontId="38" numFmtId="0" xfId="0" applyAlignment="1" applyFont="1">
      <alignment horizontal="left" shrinkToFit="0" vertical="bottom" wrapText="0"/>
    </xf>
    <xf borderId="1" fillId="7" fontId="39" numFmtId="0" xfId="0" applyAlignment="1" applyBorder="1" applyFont="1">
      <alignment horizontal="left" shrinkToFit="0" vertical="bottom" wrapText="0"/>
    </xf>
    <xf borderId="0" fillId="7" fontId="6" numFmtId="0" xfId="0" applyAlignment="1" applyFont="1">
      <alignment horizontal="center" vertical="bottom"/>
    </xf>
    <xf borderId="0" fillId="7" fontId="5" numFmtId="0" xfId="0" applyAlignment="1" applyFont="1">
      <alignment shrinkToFit="0" vertical="bottom" wrapText="0"/>
    </xf>
    <xf borderId="0" fillId="7" fontId="6" numFmtId="0" xfId="0" applyAlignment="1" applyFont="1">
      <alignment vertical="bottom"/>
    </xf>
    <xf borderId="0" fillId="7" fontId="5" numFmtId="0" xfId="0" applyAlignment="1" applyFont="1">
      <alignment horizontal="center" readingOrder="0" vertical="bottom"/>
    </xf>
    <xf borderId="0" fillId="10" fontId="40" numFmtId="0" xfId="0" applyAlignment="1" applyFill="1" applyFont="1">
      <alignment horizontal="left" shrinkToFit="0" vertical="bottom" wrapText="0"/>
    </xf>
    <xf borderId="1" fillId="10" fontId="41" numFmtId="0" xfId="0" applyAlignment="1" applyBorder="1" applyFont="1">
      <alignment horizontal="left" shrinkToFit="0" vertical="bottom" wrapText="0"/>
    </xf>
    <xf borderId="0" fillId="10" fontId="5" numFmtId="0" xfId="0" applyAlignment="1" applyFont="1">
      <alignment horizontal="center" vertical="bottom"/>
    </xf>
    <xf borderId="0" fillId="10" fontId="5" numFmtId="0" xfId="0" applyAlignment="1" applyFont="1">
      <alignment horizontal="center" readingOrder="0" vertical="bottom"/>
    </xf>
    <xf borderId="0" fillId="10" fontId="5" numFmtId="0" xfId="0" applyAlignment="1" applyFont="1">
      <alignment vertical="bottom"/>
    </xf>
    <xf borderId="0" fillId="10" fontId="42" numFmtId="0" xfId="0" applyAlignment="1" applyFont="1">
      <alignment horizontal="left" shrinkToFit="0" vertical="bottom" wrapText="0"/>
    </xf>
    <xf borderId="1" fillId="10" fontId="43" numFmtId="0" xfId="0" applyAlignment="1" applyBorder="1" applyFont="1">
      <alignment horizontal="left" shrinkToFit="0" vertical="bottom" wrapText="0"/>
    </xf>
    <xf borderId="0" fillId="10" fontId="44" numFmtId="0" xfId="0" applyAlignment="1" applyFont="1">
      <alignment horizontal="left" vertical="bottom"/>
    </xf>
    <xf borderId="1" fillId="10" fontId="45" numFmtId="0" xfId="0" applyAlignment="1" applyBorder="1" applyFont="1">
      <alignment horizontal="left" vertical="bottom"/>
    </xf>
    <xf borderId="0" fillId="10" fontId="5" numFmtId="0" xfId="0" applyAlignment="1" applyFont="1">
      <alignment horizontal="left" readingOrder="0" vertical="bottom"/>
    </xf>
    <xf borderId="1" fillId="10" fontId="46" numFmtId="0" xfId="0" applyAlignment="1" applyBorder="1" applyFont="1">
      <alignment horizontal="left" readingOrder="0" vertical="bottom"/>
    </xf>
    <xf borderId="0" fillId="11" fontId="47" numFmtId="0" xfId="0" applyAlignment="1" applyFill="1" applyFont="1">
      <alignment horizontal="left" vertical="bottom"/>
    </xf>
    <xf borderId="1" fillId="11" fontId="48" numFmtId="0" xfId="0" applyAlignment="1" applyBorder="1" applyFont="1">
      <alignment horizontal="left" vertical="bottom"/>
    </xf>
    <xf borderId="0" fillId="11" fontId="5" numFmtId="0" xfId="0" applyAlignment="1" applyFont="1">
      <alignment horizontal="center" readingOrder="0" vertical="bottom"/>
    </xf>
    <xf borderId="0" fillId="11" fontId="5" numFmtId="0" xfId="0" applyAlignment="1" applyFont="1">
      <alignment vertical="bottom"/>
    </xf>
    <xf borderId="0" fillId="11" fontId="5" numFmtId="0" xfId="0" applyAlignment="1" applyFont="1">
      <alignment horizontal="center" vertical="bottom"/>
    </xf>
    <xf borderId="0" fillId="0" fontId="49" numFmtId="0" xfId="0" applyAlignment="1" applyFont="1">
      <alignment horizontal="left" vertical="bottom"/>
    </xf>
    <xf borderId="1" fillId="0" fontId="50" numFmtId="0" xfId="0" applyAlignment="1" applyBorder="1" applyFont="1">
      <alignment horizontal="left" vertical="bottom"/>
    </xf>
    <xf borderId="0" fillId="0" fontId="51" numFmtId="0" xfId="0" applyAlignment="1" applyFont="1">
      <alignment horizontal="center" readingOrder="0" vertical="bottom"/>
    </xf>
    <xf borderId="1" fillId="0" fontId="52" numFmtId="0" xfId="0" applyAlignment="1" applyBorder="1" applyFont="1">
      <alignment horizontal="left" readingOrder="0" vertical="bottom"/>
    </xf>
    <xf borderId="0" fillId="0" fontId="6" numFmtId="0" xfId="0" applyAlignment="1" applyFont="1">
      <alignment horizontal="center" readingOrder="0" vertical="bottom"/>
    </xf>
    <xf borderId="0" fillId="3" fontId="14" numFmtId="0" xfId="0" applyAlignment="1" applyFont="1">
      <alignment readingOrder="0" shrinkToFit="0" vertical="bottom" wrapText="0"/>
    </xf>
    <xf borderId="0" fillId="3" fontId="14" numFmtId="0" xfId="0" applyAlignment="1" applyFont="1">
      <alignment vertical="bottom"/>
    </xf>
    <xf borderId="0" fillId="3" fontId="53" numFmtId="0" xfId="0" applyFont="1"/>
    <xf borderId="0" fillId="0" fontId="9" numFmtId="0" xfId="0" applyFont="1"/>
    <xf borderId="0" fillId="3" fontId="54" numFmtId="0" xfId="0" applyAlignment="1" applyFont="1">
      <alignment horizontal="left" vertical="bottom"/>
    </xf>
    <xf borderId="1" fillId="3" fontId="55" numFmtId="0" xfId="0" applyAlignment="1" applyBorder="1" applyFont="1">
      <alignment horizontal="left" vertical="bottom"/>
    </xf>
    <xf borderId="0" fillId="0" fontId="56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35" numFmtId="0" xfId="0" applyAlignment="1" applyFont="1">
      <alignment readingOrder="0"/>
    </xf>
    <xf borderId="0" fillId="0" fontId="6" numFmtId="0" xfId="0" applyAlignment="1" applyFont="1">
      <alignment horizontal="left" readingOrder="0" vertical="bottom"/>
    </xf>
    <xf borderId="1" fillId="0" fontId="57" numFmtId="0" xfId="0" applyAlignment="1" applyBorder="1" applyFont="1">
      <alignment horizontal="left" readingOrder="0" shrinkToFit="0" vertical="bottom" wrapText="0"/>
    </xf>
    <xf borderId="0" fillId="0" fontId="58" numFmtId="0" xfId="0" applyAlignment="1" applyFont="1">
      <alignment horizontal="center" vertical="bottom"/>
    </xf>
    <xf borderId="0" fillId="3" fontId="59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1" fillId="4" fontId="10" numFmtId="0" xfId="0" applyAlignment="1" applyBorder="1" applyFont="1">
      <alignment readingOrder="0" vertical="bottom"/>
    </xf>
    <xf borderId="1" fillId="8" fontId="60" numFmtId="0" xfId="0" applyAlignment="1" applyBorder="1" applyFont="1">
      <alignment horizontal="left" shrinkToFit="0" vertical="bottom" wrapText="0"/>
    </xf>
    <xf borderId="0" fillId="8" fontId="5" numFmtId="164" xfId="0" applyAlignment="1" applyFont="1" applyNumberFormat="1">
      <alignment horizontal="center" vertical="bottom"/>
    </xf>
    <xf borderId="0" fillId="8" fontId="5" numFmtId="0" xfId="0" applyAlignment="1" applyFont="1">
      <alignment horizontal="center" readingOrder="0" vertical="bottom"/>
    </xf>
    <xf borderId="0" fillId="8" fontId="61" numFmtId="0" xfId="0" applyAlignment="1" applyFont="1">
      <alignment horizontal="left" shrinkToFit="0" vertical="bottom" wrapText="0"/>
    </xf>
    <xf borderId="1" fillId="8" fontId="62" numFmtId="0" xfId="0" applyAlignment="1" applyBorder="1" applyFont="1">
      <alignment horizontal="left" shrinkToFit="0" vertical="bottom" wrapText="0"/>
    </xf>
    <xf borderId="0" fillId="8" fontId="63" numFmtId="0" xfId="0" applyAlignment="1" applyFont="1">
      <alignment horizontal="left" shrinkToFit="0" vertical="bottom" wrapText="0"/>
    </xf>
    <xf borderId="1" fillId="8" fontId="64" numFmtId="0" xfId="0" applyAlignment="1" applyBorder="1" applyFont="1">
      <alignment horizontal="left" shrinkToFit="0" vertical="bottom" wrapText="0"/>
    </xf>
    <xf borderId="0" fillId="8" fontId="65" numFmtId="0" xfId="0" applyAlignment="1" applyFont="1">
      <alignment horizontal="left" shrinkToFit="0" vertical="bottom" wrapText="0"/>
    </xf>
    <xf borderId="1" fillId="8" fontId="66" numFmtId="0" xfId="0" applyAlignment="1" applyBorder="1" applyFont="1">
      <alignment horizontal="left" shrinkToFit="0" vertical="bottom" wrapText="0"/>
    </xf>
    <xf borderId="0" fillId="8" fontId="67" numFmtId="0" xfId="0" applyAlignment="1" applyFont="1">
      <alignment vertical="bottom"/>
    </xf>
    <xf borderId="1" fillId="8" fontId="68" numFmtId="0" xfId="0" applyAlignment="1" applyBorder="1" applyFont="1">
      <alignment horizontal="left" readingOrder="0" shrinkToFit="0" vertical="bottom" wrapText="0"/>
    </xf>
    <xf borderId="0" fillId="5" fontId="11" numFmtId="0" xfId="0" applyAlignment="1" applyFont="1">
      <alignment horizontal="left" readingOrder="0" vertical="bottom"/>
    </xf>
    <xf borderId="0" fillId="7" fontId="69" numFmtId="0" xfId="0" applyAlignment="1" applyFont="1">
      <alignment horizontal="left" vertical="bottom"/>
    </xf>
    <xf borderId="1" fillId="7" fontId="70" numFmtId="0" xfId="0" applyAlignment="1" applyBorder="1" applyFont="1">
      <alignment horizontal="left" vertical="bottom"/>
    </xf>
    <xf borderId="0" fillId="7" fontId="6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ytimes.com/2025/04/03/books/review/john-and-paul-ian-leslie.html" TargetMode="External"/><Relationship Id="rId42" Type="http://schemas.openxmlformats.org/officeDocument/2006/relationships/hyperlink" Target="https://www.nytimes.com/2025/05/13/books/review/mark-twain-ron-chernow.html" TargetMode="External"/><Relationship Id="rId41" Type="http://schemas.openxmlformats.org/officeDocument/2006/relationships/hyperlink" Target="https://www.nytimes.com/2025/08/01/books/review/king-of-kings-scott-anderson.html" TargetMode="External"/><Relationship Id="rId44" Type="http://schemas.openxmlformats.org/officeDocument/2006/relationships/hyperlink" Target="https://www.nytimes.com/2025/05/06/books/review/kate-summerscale-the-peepshow.html" TargetMode="External"/><Relationship Id="rId43" Type="http://schemas.openxmlformats.org/officeDocument/2006/relationships/hyperlink" Target="https://www.nytimes.com/2025/05/13/books/review/mark-twain-ron-chernow.html" TargetMode="External"/><Relationship Id="rId46" Type="http://schemas.openxmlformats.org/officeDocument/2006/relationships/hyperlink" Target="https://www.bookbub.com/blog/favorite-book-of-2025-readers-share?position=0&amp;source=multicontent&amp;target=title" TargetMode="External"/><Relationship Id="rId45" Type="http://schemas.openxmlformats.org/officeDocument/2006/relationships/hyperlink" Target="https://www.amazon.com/Audible-Studios-on-Brilliance-Friends/dp/B0DJRQR52T/ref=sr_1_1?crid=1ZEMI02VB2JXK&amp;dib=eyJ2IjoiMSJ9.mXdSpSHQkjCv7qz1CzB9B1dqQI_ecSOPrIsC_VlcdAlP6A5759XZyCz6x6WBEtBseYrCefrCazVJvFfR05gcDTwU9tYqMiu6lu37xHn7y6rxRS28xtZargDPvUVlrjtC3R0PF7PQMKjq09s7WxQgnVbMPW--2C1zB69VVTWB8Rji2FZ4D2P4Svst8qgtv_Y5G7s9V-cOm9hkjFx6mAdSFQDg9sU81cX2kBihROToTzM.D6HaQChVJUauXfQaP272wcQSXYRTX18Y1j23zVHLg_A&amp;dib_tag=se&amp;keywords=my+friends+fredrik+backman&amp;qid=1768356887&amp;sprefix=my+friends%2Caps%2C128&amp;sr=8-1" TargetMode="External"/><Relationship Id="rId107" Type="http://schemas.openxmlformats.org/officeDocument/2006/relationships/hyperlink" Target="https://a.co/d/3UjOzfQ" TargetMode="External"/><Relationship Id="rId106" Type="http://schemas.openxmlformats.org/officeDocument/2006/relationships/hyperlink" Target="https://a.co/d/hcicDAS" TargetMode="External"/><Relationship Id="rId105" Type="http://schemas.openxmlformats.org/officeDocument/2006/relationships/hyperlink" Target="https://a.co/d/50dyF0b" TargetMode="External"/><Relationship Id="rId104" Type="http://schemas.openxmlformats.org/officeDocument/2006/relationships/hyperlink" Target="https://www.amazon.com/Cartographers-Novel-Peng-Shepherd/dp/0062910701/ref=sr_1_1?dib=eyJ2IjoiMSJ9.8_i1fz6WeE71UFNaW_AUKfWV7z94b_HA7r4oQ81vXcm2GPvRcAT11oN7AKdQCdVqfy1HvYfnVpjZ-e8tVlYS1W3B9DydpnOr2DwvKPO1OiaGSv7zuWNVMm2Q-J4yzhjUDXRHsFeah2i9ybhthHsAC9r_FmbIDtbvTEUPY9TOw5zo1Il4oocgDVCpBHGKv-Uok7cQ7MS2x0glxI4YzQuKRTKxnesOVHGlZigBrTCyh8E.pa4FMLU59HJSLsFBZHR7nnqZwKfw8r5UtF-euuEwr_k&amp;dib_tag=se&amp;keywords=the+cartographers&amp;qid=1734394631&amp;sr=8-1" TargetMode="External"/><Relationship Id="rId109" Type="http://schemas.openxmlformats.org/officeDocument/2006/relationships/hyperlink" Target="https://www.bookbub.com/blog/favorite-book-of-2025-readers-share?position=0&amp;source=multicontent&amp;target=title" TargetMode="External"/><Relationship Id="rId108" Type="http://schemas.openxmlformats.org/officeDocument/2006/relationships/hyperlink" Target="https://a.co/d/34UfVX4" TargetMode="External"/><Relationship Id="rId48" Type="http://schemas.openxmlformats.org/officeDocument/2006/relationships/hyperlink" Target="https://www.bookbub.com/blog/favorite-book-of-2025-readers-share?position=0&amp;source=multicontent&amp;target=title" TargetMode="External"/><Relationship Id="rId47" Type="http://schemas.openxmlformats.org/officeDocument/2006/relationships/hyperlink" Target="https://www.bookbub.com/blog/favorite-book-of-2025-readers-share?position=0&amp;source=multicontent&amp;target=title" TargetMode="External"/><Relationship Id="rId49" Type="http://schemas.openxmlformats.org/officeDocument/2006/relationships/hyperlink" Target="https://www.bookbub.com/blog/favorite-book-of-2025-readers-share?position=0&amp;source=multicontent&amp;target=title" TargetMode="External"/><Relationship Id="rId103" Type="http://schemas.openxmlformats.org/officeDocument/2006/relationships/hyperlink" Target="https://www.amazon.com/dp/1400031001/?coliid=I1U57YQQP4D6IW&amp;colid=E2P2OAQS8S5Y&amp;psc=1&amp;ref_=list_c_wl_lv_ov_lig_dp_it" TargetMode="External"/><Relationship Id="rId102" Type="http://schemas.openxmlformats.org/officeDocument/2006/relationships/hyperlink" Target="https://www.audible.com/pd/There-Are-Rivers-in-the-Sky-Audiobook/B0CPTKQ8FW?ref_pageloadid=eC4K0EvcYYoVHNK3&amp;pf_rd_p=80765e81-b10a-4f33-b1d3-ffb87793d047&amp;pf_rd_r=1YHPCDX5SJJHS743RZ1S&amp;plink=HOMAdKZP3L2UG15q&amp;pageLoadId=cAZxCksm0tMZIWYu&amp;creativeId=4ee810cf-ac8e-4eeb-8b79-40e176d0a225&amp;ref=a_library_t_c5_libItem_B0CPTKQ8FW_0" TargetMode="External"/><Relationship Id="rId101" Type="http://schemas.openxmlformats.org/officeDocument/2006/relationships/hyperlink" Target="https://tinyurl.com/2cenj9ke" TargetMode="External"/><Relationship Id="rId100" Type="http://schemas.openxmlformats.org/officeDocument/2006/relationships/hyperlink" Target="https://tinyurl.com/2xcuftbe" TargetMode="External"/><Relationship Id="rId31" Type="http://schemas.openxmlformats.org/officeDocument/2006/relationships/hyperlink" Target="https://www.amazon.com/dp/1324106115/?coliid=I2IO77XSAUYCKD&amp;colid=E2P2OAQS8S5Y&amp;psc=1&amp;ref_=list_c_wl_lv_ov_lig_dp_it" TargetMode="External"/><Relationship Id="rId30" Type="http://schemas.openxmlformats.org/officeDocument/2006/relationships/hyperlink" Target="https://a.co/d/aooSbEA" TargetMode="External"/><Relationship Id="rId33" Type="http://schemas.openxmlformats.org/officeDocument/2006/relationships/hyperlink" Target="https://www.amazon.com/Tell-Me-Everything-Elizabeth-Strout-ebook/dp/B0CRV8HXJX/ref=sr_1_1?crid=22QHBSY3AWDHE&amp;dib=eyJ2IjoiMSJ9.EIsiGVow0pZRgiQ3M98A4Et905TGQlwWgy586zkjrxiFpF7wJy_I54OLpE_S9N-X8kjw5_Mn4EOpdUbk-sI9CBsC8tLiPHDovuXr8fd54E8X5eCBgRb3VcxEgO2DN4_XM6MOomTP4JA7GA3VzB3kxmQ5vqtOPIaGEdTJT0rCKEN0i5bOAaPrZPxzBZ8GXv3IqTNbR9BPfuBU_rsF0KSEkDAnVDOEE1_NaZ3-Z0BTmZE.XtxgqiD9FB0QccFdJ6m1O-sgX58jTqGrYUqxwlARajQ&amp;dib_tag=se&amp;keywords=tell+me+everything+elizabeth+strout&amp;qid=1735216387&amp;s=digital-text&amp;sprefix=Tell+Me+Everything%2Cdigital-text%2C178&amp;sr=1-1" TargetMode="External"/><Relationship Id="rId32" Type="http://schemas.openxmlformats.org/officeDocument/2006/relationships/hyperlink" Target="https://a.co/d/bOWnyCx" TargetMode="External"/><Relationship Id="rId35" Type="http://schemas.openxmlformats.org/officeDocument/2006/relationships/hyperlink" Target="https://www.nytimes.com/2025/05/06/books/review/daniel-kehlmann-the-director.html" TargetMode="External"/><Relationship Id="rId34" Type="http://schemas.openxmlformats.org/officeDocument/2006/relationships/hyperlink" Target="https://www.nytimes.com/2025/07/08/books/review/these-summer-storms-sarah-maclean.html" TargetMode="External"/><Relationship Id="rId37" Type="http://schemas.openxmlformats.org/officeDocument/2006/relationships/hyperlink" Target="https://www.nytimes.com/2025/03/10/books/review/careless-people-sarah-wynn-williams.html" TargetMode="External"/><Relationship Id="rId36" Type="http://schemas.openxmlformats.org/officeDocument/2006/relationships/hyperlink" Target="https://www.nytimes.com/2025/02/03/books/review/the-age-of-choice-sophia-rosenfeld.html" TargetMode="External"/><Relationship Id="rId39" Type="http://schemas.openxmlformats.org/officeDocument/2006/relationships/hyperlink" Target="https://www.nytimes.com/2025/04/29/books/review/the-fate-of-the-day-rick-atkinson.html" TargetMode="External"/><Relationship Id="rId38" Type="http://schemas.openxmlformats.org/officeDocument/2006/relationships/hyperlink" Target="https://www.nytimes.com/2025/09/12/books/review/dark-renaissance-stephen-greenblatt.html" TargetMode="External"/><Relationship Id="rId20" Type="http://schemas.openxmlformats.org/officeDocument/2006/relationships/hyperlink" Target="https://a.co/d/4k6lHXj" TargetMode="External"/><Relationship Id="rId22" Type="http://schemas.openxmlformats.org/officeDocument/2006/relationships/hyperlink" Target="https://a.co/d/9Lr11Rr" TargetMode="External"/><Relationship Id="rId21" Type="http://schemas.openxmlformats.org/officeDocument/2006/relationships/hyperlink" Target="https://www.amazon.com/Splendid-Vile-Churchill-Family-Defiance/dp/0385348738/ref=sr_1_1?crid=VFKJQCH83NH5&amp;dib=eyJ2IjoiMSJ9.pN2aqFvab5ckDcdvM4soVz7Vyu1FXbwNi002lTrpxg98dNQQx4iPe0CJP3GRHe6MNqLdEoESYhSd01CarwNnHQo_FiZOLl3o3k-wE3wacewz4PSm1cb0uKBtGoU9rP3dqRZSVH1p0sAqiaaY1EZA6gNkUCMLQ1jrCQxNCc4KSWFb0Sw95v2fNfbFV7bUmm5RYBoNdrIA7EasX2NJsUUXT7lgdub_0csGTRiGr5DAuqg.LbGxutSw47fioxa60XXikhL2bNJk81zH8dchgI3yX7s&amp;dib_tag=se&amp;keywords=splendid+and+the+vile&amp;qid=1734395825&amp;sprefix=splendid%2Caps%2C167&amp;sr=8-1" TargetMode="External"/><Relationship Id="rId24" Type="http://schemas.openxmlformats.org/officeDocument/2006/relationships/hyperlink" Target="https://a.co/d/ddkvM9T" TargetMode="External"/><Relationship Id="rId23" Type="http://schemas.openxmlformats.org/officeDocument/2006/relationships/hyperlink" Target="https://www.amazon.com/Big-Magic-Creative-Living-Beyond/dp/1594634726/ref=sr_1_1?dib=eyJ2IjoiMSJ9.qQekUFpm25C772CBuIBfeS5HvcZocC4TAnJNVyL5FqGgrxtqpJteasPDM3LCdKmoSXUZmABq6vDcnv1OkustqTEM7rp-CshLbAMBokJNK6LwApoElmM29c9iKZRiyF9nMqAP9qhR2gLvu27aI9E6DFVnpPTZGfUrmZGMRUHxuR0trZk6GnQEl9mv5_72eo1yGV9dN0YL4F7uWoSAmPJcAbWnhhfqXkLCJy5PZ_pRneo.lIKNIu66tsPa4NQmi3ltlgB2XYeU51PN1iSWwGD7zpw&amp;dib_tag=se&amp;keywords=big+magic+book&amp;qid=1734395677&amp;sr=8-1" TargetMode="External"/><Relationship Id="rId129" Type="http://schemas.openxmlformats.org/officeDocument/2006/relationships/hyperlink" Target="https://a.co/d/9VNFEsD" TargetMode="External"/><Relationship Id="rId128" Type="http://schemas.openxmlformats.org/officeDocument/2006/relationships/hyperlink" Target="https://a.co/d/1QV0ImM" TargetMode="External"/><Relationship Id="rId127" Type="http://schemas.openxmlformats.org/officeDocument/2006/relationships/hyperlink" Target="https://a.co/d/btxZWga" TargetMode="External"/><Relationship Id="rId126" Type="http://schemas.openxmlformats.org/officeDocument/2006/relationships/hyperlink" Target="https://a.co/d/hxhQ7xY" TargetMode="External"/><Relationship Id="rId26" Type="http://schemas.openxmlformats.org/officeDocument/2006/relationships/hyperlink" Target="https://a.co/d/ewPgI0e" TargetMode="External"/><Relationship Id="rId121" Type="http://schemas.openxmlformats.org/officeDocument/2006/relationships/hyperlink" Target="https://a.co/d/g2Xz4hQ" TargetMode="External"/><Relationship Id="rId25" Type="http://schemas.openxmlformats.org/officeDocument/2006/relationships/hyperlink" Target="https://a.co/d/eObQDLc" TargetMode="External"/><Relationship Id="rId120" Type="http://schemas.openxmlformats.org/officeDocument/2006/relationships/hyperlink" Target="https://a.co/d/6EN20wS" TargetMode="External"/><Relationship Id="rId28" Type="http://schemas.openxmlformats.org/officeDocument/2006/relationships/hyperlink" Target="https://a.co/d/2b3ctst" TargetMode="External"/><Relationship Id="rId27" Type="http://schemas.openxmlformats.org/officeDocument/2006/relationships/hyperlink" Target="https://a.co/d/0N67eqd" TargetMode="External"/><Relationship Id="rId125" Type="http://schemas.openxmlformats.org/officeDocument/2006/relationships/hyperlink" Target="https://a.co/d/gf5D2wl" TargetMode="External"/><Relationship Id="rId29" Type="http://schemas.openxmlformats.org/officeDocument/2006/relationships/hyperlink" Target="https://a.co/d/dTeB7Zv" TargetMode="External"/><Relationship Id="rId124" Type="http://schemas.openxmlformats.org/officeDocument/2006/relationships/hyperlink" Target="https://www.amazon.com/Gentleman-Moscow-Novel-Amor-Towles-ebook/dp/B01COJUEZ0/ref=sr_1_1?crid=2D5V1DDDOIPC&amp;dib=eyJ2IjoiMSJ9.BzQExXJb24LB2Tm14u4PfNT7j7e8Ker6c3QEIjXFiy_qEaepvYmfEWpSFa_wotGwqvNRr6O8R2MZjRvX4w1_R2RumrRt2U0IhhxCVmCVYP9NSBfoTRajGsbojZeJozP-LgtAHaeYEjlEIGbrDPOLii8WCtrAC37ESD187i3vWfNmXNJ5vS69bBsMntgqOyfUAW1tj8wJrK4R52-0o5KKg0xqYS5bRTkx0MCy2DaDf9A.55HXaCE3PUFid6Zu11NplXRHfVXr36BCcpAXRFKAkhs&amp;dib_tag=se&amp;keywords=a+gentleman+in+moscow+a+novel&amp;qid=1735216433&amp;s=digital-text&amp;sprefix=a+gen%2Cdigital-text%2C221&amp;sr=1-1" TargetMode="External"/><Relationship Id="rId123" Type="http://schemas.openxmlformats.org/officeDocument/2006/relationships/hyperlink" Target="https://www.amazon.com/Creation-Lake-Novel-Rachel-Kushner/dp/1982116528/ref=sr_1_1?crid=1E0D4R3BEZZFJ&amp;dib=eyJ2IjoiMSJ9.pTIQXIcB2ubMHXYPP0sfwrP97iQOQK55Ne1Mx2WEWq6XqGqNQHEkr9rX1ZLMgyicf5pKoqwXAupZeVUc22Sb9i-GHqTAAewkTzrk09vhDXwzJZLhUZNgP-d21RCjLNC2y9Y0iy_Dasa6ecYKHsjdk4JOd_FL3OJJ34UkWyHPhoXDylc7-tLzCYHJlVHg2cpLt0CnEq1IhLeMTEsQ91lW3FdFMtoAIJYLTYnYf08zLh4.5JQMkF6VMXmortroNrYDlMXOp700jGnmqLOSNvhrKAc&amp;dib_tag=se&amp;keywords=Creation+Lake&amp;qid=1734394913&amp;sprefix=creation+lake%2Caps%2C227&amp;sr=8-1" TargetMode="External"/><Relationship Id="rId122" Type="http://schemas.openxmlformats.org/officeDocument/2006/relationships/hyperlink" Target="https://www.amazon.com/Listen-Lie-Novel-Amy-Tintera/dp/1250880319/ref=sr_1_1?crid=144QKT1327BJ2&amp;dib=eyJ2IjoiMSJ9.CNh65nb4pj-Evk2UqiIkczW4xo9CuTOSXaV2-L3ApAsFyH-izWIJAW-yJuwq7tpMmbhsq0tfLvoz4U3JqcbWHNm0votuyzg6DWoBP8zGF8mvcOm4uE4QRBV2SyW5YH1LD4i_WRdF8-svBUurM-bo2ME2hEIsWxYAdzKFLPO11QvLuDCKvpCKniA0t5aKgLJ15f7UUAzsRdylUgP7--WDHdGfMUkLN5gqUsSaxuSfAKU.cxdvxkJ0qUPvs4-XBzUiX79iqoilKoETrxOAQj3SCds&amp;dib_tag=se&amp;keywords=Listen+for+the+Lie&amp;qid=1734394898&amp;sprefix=listen+for+the+lie%2Caps%2C181&amp;sr=8-1" TargetMode="External"/><Relationship Id="rId95" Type="http://schemas.openxmlformats.org/officeDocument/2006/relationships/hyperlink" Target="https://a.co/d/iQC2JyU" TargetMode="External"/><Relationship Id="rId94" Type="http://schemas.openxmlformats.org/officeDocument/2006/relationships/hyperlink" Target="https://a.co/d/37WMNvj" TargetMode="External"/><Relationship Id="rId97" Type="http://schemas.openxmlformats.org/officeDocument/2006/relationships/hyperlink" Target="https://a.co/d/5mDRcFB" TargetMode="External"/><Relationship Id="rId96" Type="http://schemas.openxmlformats.org/officeDocument/2006/relationships/hyperlink" Target="https://a.co/d/a3okufK" TargetMode="External"/><Relationship Id="rId11" Type="http://schemas.openxmlformats.org/officeDocument/2006/relationships/hyperlink" Target="https://a.co/d/hcZ2DhO" TargetMode="External"/><Relationship Id="rId99" Type="http://schemas.openxmlformats.org/officeDocument/2006/relationships/hyperlink" Target="https://www.amazon.com/Ministry-Time-Novel-Kaliane-Bradley/dp/1668045141/ref=sr_1_1?dib=eyJ2IjoiMSJ9.iFhR0eKshnkhrw07lfts3YBe72e_tejA6u9o_mmSBWVEqPVnUdMrRgOCbInvsxfOOM32ewJQYGEBRP8ujgR-K-pXaDVsTZzskydTsWXQT47BO4eDMDyN3DPIpj-UlHMPBI6zzZ64gKLhfjC_mp-6f5udwwbjzjvY_onwA56r3FyVYYKPYpoRmloEwwO0Sm91RwHPlDf6lor9213NpOID77GYlaHuF-UthrUTP0CvTKQ.4dNuhmFTGulDtmSoV93ev3K8PsNBEoQlI5VaUP5uiG8&amp;dib_tag=se&amp;keywords=the+ministry+of+time&amp;qid=1734394831&amp;sr=8-1" TargetMode="External"/><Relationship Id="rId10" Type="http://schemas.openxmlformats.org/officeDocument/2006/relationships/hyperlink" Target="https://a.co/d/cOiCSLQ" TargetMode="External"/><Relationship Id="rId98" Type="http://schemas.openxmlformats.org/officeDocument/2006/relationships/hyperlink" Target="https://www.amazon.com/Brief-History-Intelligence-Humans-Breakthroughs-ebook/dp/B0B9SH82C2/ref=sr_1_1?crid=2UWLEE90X15RH&amp;dib=eyJ2IjoiMSJ9.xD7Ht8ivMFR2Lh9OqzMFGhdImFsyj_0XgP8mrSyN2PFQ9gPZrUfaONY-rgi-8jqn20wU4dBFnH3z8_a0HZBDy2kwozgGWgpI-G_M_6-iDr92PPa3tABxiSbqZXzTxNV-t7k47mW_IBl19qE1_9O6dwcqyQjXv5YYMJ3xYWCyhFwcKZBx1MsklTAmIOSUMgZHsZ3X4r6ApthSSwWhs0Cd0y6v8_Goid1vG8-3qi8NARw.rmJKrWf_OF3tPAr8iQPfETAJdPASboEIUEuWm2j_h5w&amp;dib_tag=se&amp;keywords=a+short+history+of+intelligence&amp;qid=1747958159&amp;sprefix=a+short+history+of+intelligence%2Caps%2C125&amp;sr=8-1" TargetMode="External"/><Relationship Id="rId13" Type="http://schemas.openxmlformats.org/officeDocument/2006/relationships/hyperlink" Target="https://a.co/d/a0f6ohf" TargetMode="External"/><Relationship Id="rId12" Type="http://schemas.openxmlformats.org/officeDocument/2006/relationships/hyperlink" Target="https://a.co/d/0l685oq" TargetMode="External"/><Relationship Id="rId91" Type="http://schemas.openxmlformats.org/officeDocument/2006/relationships/hyperlink" Target="https://www.amazon.com/Left-Hand-Darkness-Ursula-Guin/dp/0441478123/ref=sr_1_1?crid=3OAS2FFF9V5IV&amp;dib=eyJ2IjoiMSJ9.nIvi0COosOe4gl7QLoQmW52uryif8JEXRBohIl700O7EIh2yXDbUbJpg58fWJvDdX_LZkAyYnHgZRhEWegEZp9tLyais1YZYkYsAe20KDFm7-UtHeS2toZhxhyjubVQHNWxnn_Wn0X-MrkuyZ0QhZAwccaJoOLQRpaJoEoF1qMRoc4gSs1zh4Fq16QVOCMdvk2Sr0esSp6MlhdY8cLzQ7B1do91oA8o3wVuxAkkaT-w.qmeO1PCKBM0E46gr7KHfBqBBFvtDZyrST_WzfB4idiY&amp;dib_tag=se&amp;keywords=The+Left+Hand+of+Darkness&amp;qid=1734394931&amp;sprefix=creation+lake%2Caps%2C250&amp;sr=8-1" TargetMode="External"/><Relationship Id="rId90" Type="http://schemas.openxmlformats.org/officeDocument/2006/relationships/hyperlink" Target="https://a.co/d/i9M9fel" TargetMode="External"/><Relationship Id="rId93" Type="http://schemas.openxmlformats.org/officeDocument/2006/relationships/hyperlink" Target="https://a.co/d/2V4jKcV" TargetMode="External"/><Relationship Id="rId92" Type="http://schemas.openxmlformats.org/officeDocument/2006/relationships/hyperlink" Target="https://www.amazon.com/Underground-Railroad-Novel-Colson-Whitehead/dp/0345804325/ref=sr_1_3?crid=2WFTL8KKQ4BDX&amp;dib=eyJ2IjoiMSJ9.wyISha5TQ1JTrMrxXoTEbbPppnFtHZZ7nMLtb-E0WNz3217BaRzeRnlY_6IU-mWIvHdIRw8qpMw0LUpCRNtiSbW2ArrvynyXX-iIgxfah2FKfm2p80dbLUiJBv398usREmsG_f-4Q9-GtfiloVeVW6cGSqBD3raQGdZfIkiTXT2SezB9JlvbL1XQkAattjwKUi4mT30L_K4yz04aCAlv0foycrGEtwUv6REB5O9vldo.hROPLh4rfBAGEb-PgCXkyrYSgOby_7pEMUjtfIGVAvQ&amp;dib_tag=se&amp;keywords=The+Underground+Railroad&amp;qid=1735329463&amp;sprefix=the+underground+railroad%2Caps%2C153&amp;sr=8-3" TargetMode="External"/><Relationship Id="rId118" Type="http://schemas.openxmlformats.org/officeDocument/2006/relationships/hyperlink" Target="https://a.co/d/hqxIe4I" TargetMode="External"/><Relationship Id="rId117" Type="http://schemas.openxmlformats.org/officeDocument/2006/relationships/hyperlink" Target="https://a.co/d/3GiJ3CX" TargetMode="External"/><Relationship Id="rId116" Type="http://schemas.openxmlformats.org/officeDocument/2006/relationships/hyperlink" Target="https://a.co/d/8cWZUJF" TargetMode="External"/><Relationship Id="rId115" Type="http://schemas.openxmlformats.org/officeDocument/2006/relationships/hyperlink" Target="https://a.co/d/1eDxgm0" TargetMode="External"/><Relationship Id="rId119" Type="http://schemas.openxmlformats.org/officeDocument/2006/relationships/hyperlink" Target="https://a.co/d/4CjQ5gC" TargetMode="External"/><Relationship Id="rId15" Type="http://schemas.openxmlformats.org/officeDocument/2006/relationships/hyperlink" Target="https://tinyurl.com/23zjxysu" TargetMode="External"/><Relationship Id="rId110" Type="http://schemas.openxmlformats.org/officeDocument/2006/relationships/hyperlink" Target="https://a.co/d/gsuDNJt" TargetMode="External"/><Relationship Id="rId14" Type="http://schemas.openxmlformats.org/officeDocument/2006/relationships/hyperlink" Target="https://a.co/d/c9ElFT9" TargetMode="External"/><Relationship Id="rId17" Type="http://schemas.openxmlformats.org/officeDocument/2006/relationships/hyperlink" Target="https://www.amazon.com/Small-Things-These-Claire-Keegan-ebook/dp/B092FX6HYZ/ref=sr_1_1?crid=3VA8QQEDV3NON&amp;dib=eyJ2IjoiMSJ9._eceVLqePoZza9lYmI-NfkYetLfmLPOmNUyZ_2kVW5q-O7hFIX3UHC0aOJWp7zPPknDFxTA3TgZpnKVoZoBJVN1Cafp5jiEIzjEQsCXmwd6MRNgEi7K-bKE_Pxhz83fiUJmZq2OVYUTz5G-PsrrrajbtMjMxX7RXCcsEOp6F3CR3Ai5Ba1hT-Dg7XvTYtj1khL3X5x1MRw3EKsvw8BPb65szrr-eaUBdMrvveOWdKvY.Ykdu8Oc9a2oiLXV8sxKx187-wHcfs1JK53iisf-OX1o&amp;dib_tag=se&amp;keywords=small+things+like+these+claire+keegan&amp;qid=1772761651&amp;sprefix=small+things+%2Caps%2C186&amp;sr=8-1" TargetMode="External"/><Relationship Id="rId16" Type="http://schemas.openxmlformats.org/officeDocument/2006/relationships/hyperlink" Target="https://www.amazon.com/Lovely-Bones-Alice-Sebold-ebook/dp/B000FA5TTW/ref=sr_1_1?crid=GBPF74W8FCRR&amp;dib=eyJ2IjoiMSJ9.zfecjNMhoakkyUoX3aqxmLSBkxOdlxGRemJKu6eIEAbN9B41ZYSXo8o2ZSYcguApCe01bL9XTUJYuGGtYj1nZdt0TpNMGXRUUzh0ySu597NbTXahdNVQ3gW_PXujTTvgcG-EbUxSX6cEKNpTpQTRElqD4XizpmCqFx7Q7mZlv7xMlxiQ8z-Sv2mjt6pX80oFl2XbJnnOInRisFmYcPzsDjUGMN3VUrlIBC-jQr2cMLQ.5xlGCb2KJAap2d6aIgTRyylzjlRVWzWtvCrUqmqvM5E&amp;dib_tag=se&amp;keywords=the+lovely+bones&amp;qid=1772765489&amp;sprefix=the+lovely+bones%2Caps%2C172&amp;sr=8-1" TargetMode="External"/><Relationship Id="rId19" Type="http://schemas.openxmlformats.org/officeDocument/2006/relationships/hyperlink" Target="https://a.co/d/6BHvoIB" TargetMode="External"/><Relationship Id="rId114" Type="http://schemas.openxmlformats.org/officeDocument/2006/relationships/hyperlink" Target="https://a.co/d/4895AvJ" TargetMode="External"/><Relationship Id="rId18" Type="http://schemas.openxmlformats.org/officeDocument/2006/relationships/hyperlink" Target="https://a.co/d/7Xpvqxe" TargetMode="External"/><Relationship Id="rId113" Type="http://schemas.openxmlformats.org/officeDocument/2006/relationships/hyperlink" Target="https://a.co/d/iKl5GQW" TargetMode="External"/><Relationship Id="rId112" Type="http://schemas.openxmlformats.org/officeDocument/2006/relationships/hyperlink" Target="https://a.co/d/a9X6aAC" TargetMode="External"/><Relationship Id="rId111" Type="http://schemas.openxmlformats.org/officeDocument/2006/relationships/hyperlink" Target="https://a.co/d/aV3xyqc" TargetMode="External"/><Relationship Id="rId84" Type="http://schemas.openxmlformats.org/officeDocument/2006/relationships/hyperlink" Target="https://www.amazon.com/House-Doors-Tan-Twan-Eng/dp/1639731938/ref=sr_1_1?crid=3RGSH2P8GKYT9&amp;dib=eyJ2IjoiMSJ9.RKF_2Lnf0ijpC48B6MkKlSMnsSofGYHjfUopufxopiLiOsHbUoQ3NwzyBl6q2t82MOJIkSNZ6CcfQYb87xE118NAiRX-s5HZrs9y7v0UYAgjr711P-Jho6oUEZnWjKGuVSrMaYRygtkn2Wbw3GNeqJYbpvOk7aQ2CXuyiHUnCYkmWe9XDtaZGs_NNMBLOhln.MKx79novtsFMIFcdo2ANaLlEHboEQucpEvZyvrtXF1E&amp;dib_tag=se&amp;keywords=the+house+of+doors+tan+twang+eng&amp;qid=1735780183&amp;sprefix=the+house+of+doors%2Caps%2C132&amp;sr=8-1" TargetMode="External"/><Relationship Id="rId83" Type="http://schemas.openxmlformats.org/officeDocument/2006/relationships/hyperlink" Target="https://www.nytimes.com/2025/10/08/books/review/new-thriller-novels.html" TargetMode="External"/><Relationship Id="rId86" Type="http://schemas.openxmlformats.org/officeDocument/2006/relationships/hyperlink" Target="https://a.co/d/dNRcdBp" TargetMode="External"/><Relationship Id="rId85" Type="http://schemas.openxmlformats.org/officeDocument/2006/relationships/hyperlink" Target="https://a.co/d/1CZJ25s" TargetMode="External"/><Relationship Id="rId88" Type="http://schemas.openxmlformats.org/officeDocument/2006/relationships/hyperlink" Target="https://a.co/d/7orelHV" TargetMode="External"/><Relationship Id="rId87" Type="http://schemas.openxmlformats.org/officeDocument/2006/relationships/hyperlink" Target="https://a.co/d/cZI84Jl" TargetMode="External"/><Relationship Id="rId89" Type="http://schemas.openxmlformats.org/officeDocument/2006/relationships/hyperlink" Target="https://a.co/d/9fEbj3P" TargetMode="External"/><Relationship Id="rId80" Type="http://schemas.openxmlformats.org/officeDocument/2006/relationships/hyperlink" Target="https://www.nytimes.com/2025/07/08/books/review/these-summer-storms-sarah-maclean.html" TargetMode="External"/><Relationship Id="rId82" Type="http://schemas.openxmlformats.org/officeDocument/2006/relationships/hyperlink" Target="https://www.nytimes.com/2025/08/13/books/review/new-crime-fiction.html" TargetMode="External"/><Relationship Id="rId81" Type="http://schemas.openxmlformats.org/officeDocument/2006/relationships/hyperlink" Target="https://www.nytimes.com/2025/10/02/books/review/thomas-pynchon-shadow-ticket.html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document/d/1NenpSj4stYF8glbuHhbt-bbkJixwfELEVnkh9YHJKXc/edit?tab=t.0" TargetMode="External"/><Relationship Id="rId3" Type="http://schemas.openxmlformats.org/officeDocument/2006/relationships/hyperlink" Target="https://a.co/d/bIWtBJS" TargetMode="External"/><Relationship Id="rId4" Type="http://schemas.openxmlformats.org/officeDocument/2006/relationships/hyperlink" Target="https://www.amazon.com/Door-NYRB-Classics-Magda-Szabo-ebook/dp/B00MZW8TG8/ref=sr_1_1?crid=DRP3L8ACV7PA&amp;dib=eyJ2IjoiMSJ9.36J_L9q5yknL7WbNUoh-QbTE2YOA4mQt1oyEERyZg-yntAoa0pZkeyNXfIv3XDfK5RcMLJ3lDT8H0-6jrnwZmAJJEm8QIRJfCzvNkWtc-b0z_65x-K83UAmmC4KkeP_fN0fkOSSomr6a9s_3SL7bgUQXjA2MuyB3nq22OTDww-uwjboQywgy3fZIP3hXlbkk98sdjOy0AiqGBOhquLzv7DnjgdOrpWJwwX7V7m-k_cI.0F4SEC548yRQvFyeYX_f-we0JksVNW-lxWRR0POOEg8&amp;dib_tag=se&amp;keywords=the+door&amp;qid=1772761786&amp;sprefix=the+door%2Caps%2C173&amp;sr=8-1" TargetMode="External"/><Relationship Id="rId9" Type="http://schemas.openxmlformats.org/officeDocument/2006/relationships/hyperlink" Target="https://tinyurl.com/246ot64q" TargetMode="External"/><Relationship Id="rId140" Type="http://schemas.openxmlformats.org/officeDocument/2006/relationships/vmlDrawing" Target="../drawings/vmlDrawing1.vml"/><Relationship Id="rId5" Type="http://schemas.openxmlformats.org/officeDocument/2006/relationships/hyperlink" Target="https://www.amazon.com/These-Precious-Days-Ann-Patchett-ebook/dp/B08VMXDSLM/ref=sr_1_1?dib=eyJ2IjoiMSJ9.5m9pdB0_cDawnovLzWlrDXCOKkLCRjbqQ3vt7flSDpv5TbJt265dZ1gkTUNAUJgnDkS0GqgHEP-p-45T6Y4zE9_KTDNuS26U6BNSAnJU4fwSrQ6r6opqBHQxwAVErZedpY9EsnctIUqC5xihYOF2ItxLVv-dvGmX-f7kNhfCeDA6lMogXrlbxf2abaHKsq7NU4pfc-hqUgpK60OG9PblXzIFmQCdvDTgEnQR0PA2Hho.HMKIDdSyIKg37WbM_bCtoxY8yjH202xL32UliPhikOw&amp;dib_tag=se&amp;keywords=ann+patchett+essays&amp;qid=1772205325&amp;sr=8-1" TargetMode="External"/><Relationship Id="rId6" Type="http://schemas.openxmlformats.org/officeDocument/2006/relationships/hyperlink" Target="https://a.co/d/gpyrzTe" TargetMode="External"/><Relationship Id="rId7" Type="http://schemas.openxmlformats.org/officeDocument/2006/relationships/hyperlink" Target="https://a.co/d/0eZGouwM" TargetMode="External"/><Relationship Id="rId8" Type="http://schemas.openxmlformats.org/officeDocument/2006/relationships/hyperlink" Target="https://tinyurl.com/2yadrp6h" TargetMode="External"/><Relationship Id="rId73" Type="http://schemas.openxmlformats.org/officeDocument/2006/relationships/hyperlink" Target="https://a.co/d/4pWVOdv" TargetMode="External"/><Relationship Id="rId72" Type="http://schemas.openxmlformats.org/officeDocument/2006/relationships/hyperlink" Target="https://a.co/d/eKFEgLP" TargetMode="External"/><Relationship Id="rId75" Type="http://schemas.openxmlformats.org/officeDocument/2006/relationships/hyperlink" Target="https://a.co/d/5le7cAU" TargetMode="External"/><Relationship Id="rId74" Type="http://schemas.openxmlformats.org/officeDocument/2006/relationships/hyperlink" Target="https://www.amazon.com/Magnolia-Palace-Novel-Fiona-Davis/dp/0593184033/ref=sr_1_1?crid=3U7G45AEX1GWC&amp;dib=eyJ2IjoiMSJ9.Erhgu5xc5TFZv0jSUq_Y3Qwpv1davQopeWKLENphTHPsLNLYQLBNoWsmkgzmz-WVJ_TtcROE6o-IkyUIWq-5l-uODbAX9CIr57yC37CO40mQX4XMo-Z0GVigmcDfK06JQHnw_MpqRJJ8xRHhIH3Zwm2o8NdE0FkSV8AueHMHEC4UBfJqHNfNyTolVlXswCa9rZr8bihEYH6U_NpuLYU-AoM8s1jtJmbspRF2KcOB094.LmI-pyt0G8Tl1QWr8nw38BqT7ULeW-ohS1jiFYzu1xY&amp;dib_tag=se&amp;keywords=the+magnolia+palace&amp;qid=1734394709&amp;sprefix=the+magnolia+palace%2Caps%2C155&amp;sr=8-1" TargetMode="External"/><Relationship Id="rId77" Type="http://schemas.openxmlformats.org/officeDocument/2006/relationships/hyperlink" Target="https://www.amazon.com/Lincoln-Highway-Novel-Amor-Towles/dp/0735222363/ref=sr_1_1?crid=2Q1ZEO8R3ZI52&amp;dib=eyJ2IjoiMSJ9.YsUL7c6bpJCpfC119KFaA7WHPiDMNNYTpW4Gr9F_7MrcCb4vhMLJRZgDi6wm9ck601Zq9TWWAfPpTHxuecpu_LXsF-yAv5NNZcQjqJEPaZ8jyVTSvrTZRn4Aedd-GJLXSV8BBySCAftZpHaVyuOmZb7on0dY_VNJY15QZ_rIRIh1q-YLcRFZCfg-egjE3ZECgAvWJrIP-NoSc9YAsfpOJFX6iJamyWQchyf4HIQVHyc.9CiH05dMXyCg14hz6yx5DxBxPJ64f1DPilCivHGkJKA&amp;dib_tag=se&amp;keywords=lincoln+highway&amp;qid=1734395445&amp;sprefix=lincoln+h%2Caps%2C138&amp;sr=8-1" TargetMode="External"/><Relationship Id="rId76" Type="http://schemas.openxmlformats.org/officeDocument/2006/relationships/hyperlink" Target="https://a.co/d/gWJzGsG" TargetMode="External"/><Relationship Id="rId79" Type="http://schemas.openxmlformats.org/officeDocument/2006/relationships/hyperlink" Target="https://www.nytimes.com/shared/v1/cl-single.html?smid=url-share&amp;rsrc=cl-share&amp;uri=nyt%3A%2F%2Farticle%2F1f237043-1b87-537d-b355-b343517630e5&amp;ca=4190ae776ea756f3a1e15339ffcfdb8c" TargetMode="External"/><Relationship Id="rId78" Type="http://schemas.openxmlformats.org/officeDocument/2006/relationships/hyperlink" Target="https://www.nytimes.com/shared/v1/cl-single.html?smid=url-share&amp;rsrc=cl-share&amp;uri=nyt%3A%2F%2Farticle%2F1f237043-1b87-537d-b355-b343517630e5&amp;ca=cb9b025fc5405a5886390296acc6e2ef" TargetMode="External"/><Relationship Id="rId71" Type="http://schemas.openxmlformats.org/officeDocument/2006/relationships/hyperlink" Target="https://www.amazon.com/Lincoln-Highway-Novel-Amor-Towles/dp/0735222363/ref=sr_1_1?crid=2Q1ZEO8R3ZI52&amp;dib=eyJ2IjoiMSJ9.YsUL7c6bpJCpfC119KFaA7WHPiDMNNYTpW4Gr9F_7MrcCb4vhMLJRZgDi6wm9ck601Zq9TWWAfPpTHxuecpu_LXsF-yAv5NNZcQjqJEPaZ8jyVTSvrTZRn4Aedd-GJLXSV8BBySCAftZpHaVyuOmZb7on0dY_VNJY15QZ_rIRIh1q-YLcRFZCfg-egjE3ZECgAvWJrIP-NoSc9YAsfpOJFX6iJamyWQchyf4HIQVHyc.9CiH05dMXyCg14hz6yx5DxBxPJ64f1DPilCivHGkJKA&amp;dib_tag=se&amp;keywords=lincoln+highway&amp;qid=1734395445&amp;sprefix=lincoln+h%2Caps%2C138&amp;sr=8-1" TargetMode="External"/><Relationship Id="rId70" Type="http://schemas.openxmlformats.org/officeDocument/2006/relationships/hyperlink" Target="https://www.amazon.com/Maps-Spectacular-Bodies-Maddie-Mortimer/dp/198218177X/ref=sr_1_1?crid=2VD634I7F85SU&amp;dib=eyJ2IjoiMSJ9.39MNcFtJ6w-dmHPljEYfcxWwATgdFDoeY7RpFBiveFw.ipNpnT_eDT3sr3rLCQbt5p6qILbEjEAsJpVJ7NWOdak&amp;dib_tag=se&amp;keywords=Maps+of+Our+Spectacular+Bodies&amp;qid=1734395102&amp;sprefix=maps+of+our+spectacular+bodies%2Caps%2C239&amp;sr=8-1" TargetMode="External"/><Relationship Id="rId139" Type="http://schemas.openxmlformats.org/officeDocument/2006/relationships/drawing" Target="../drawings/drawing1.xml"/><Relationship Id="rId138" Type="http://schemas.openxmlformats.org/officeDocument/2006/relationships/hyperlink" Target="https://tinyurl.com/yw9jeoht" TargetMode="External"/><Relationship Id="rId137" Type="http://schemas.openxmlformats.org/officeDocument/2006/relationships/hyperlink" Target="https://a.co/d/3Y9Zpog" TargetMode="External"/><Relationship Id="rId132" Type="http://schemas.openxmlformats.org/officeDocument/2006/relationships/hyperlink" Target="https://a.co/d/b6CWakh" TargetMode="External"/><Relationship Id="rId131" Type="http://schemas.openxmlformats.org/officeDocument/2006/relationships/hyperlink" Target="https://a.co/d/bCNlQbs" TargetMode="External"/><Relationship Id="rId130" Type="http://schemas.openxmlformats.org/officeDocument/2006/relationships/hyperlink" Target="https://a.co/d/6okdGYy" TargetMode="External"/><Relationship Id="rId136" Type="http://schemas.openxmlformats.org/officeDocument/2006/relationships/hyperlink" Target="https://a.co/d/iK9a25D" TargetMode="External"/><Relationship Id="rId135" Type="http://schemas.openxmlformats.org/officeDocument/2006/relationships/hyperlink" Target="https://a.co/d/00VZ9UVl" TargetMode="External"/><Relationship Id="rId134" Type="http://schemas.openxmlformats.org/officeDocument/2006/relationships/hyperlink" Target="https://a.co/d/jdAAcmb" TargetMode="External"/><Relationship Id="rId133" Type="http://schemas.openxmlformats.org/officeDocument/2006/relationships/hyperlink" Target="https://www.amazon.com/None-This-True-Lisa-Jewell/dp/1982179015/ref=sr_1_1?crid=13E7OFK2CHJSY&amp;dib=eyJ2IjoiMSJ9.qwkqShZ5Mogqw52jo2WO7VjSsUH-LUFET8wVUair95DUTmqYjwwcacNYW3eZDejQ4zRkovBkd0NP4eGrXh9egN3yzWHUTAlia42G8zdqJJ7fW6j3W_1Y4erzefby3OSHhdXOPgbrF7vYNxHAeu-LxiYfoiL2JfjzMbJNG-FfafGnMZYoK-bOHA6XOP9XPjq2SSOzptmi5WG6JFku2qQbjZrBdWA6XEOog39dDh2VRDY.n1uxZsWbhbd4kBKPwoyUGZZOoGQp35jfmV2OrOCIstc&amp;dib_tag=se&amp;keywords=none+of+this+is+true+lisa+jewell&amp;qid=1737403303&amp;sprefix=None+of+This+is+True%2Caps%2C228&amp;sr=8-1" TargetMode="External"/><Relationship Id="rId62" Type="http://schemas.openxmlformats.org/officeDocument/2006/relationships/hyperlink" Target="https://a.co/d/bMbfxpQ" TargetMode="External"/><Relationship Id="rId61" Type="http://schemas.openxmlformats.org/officeDocument/2006/relationships/hyperlink" Target="https://a.co/d/5ItwmK7" TargetMode="External"/><Relationship Id="rId64" Type="http://schemas.openxmlformats.org/officeDocument/2006/relationships/hyperlink" Target="https://a.co/d/5le7cAU" TargetMode="External"/><Relationship Id="rId63" Type="http://schemas.openxmlformats.org/officeDocument/2006/relationships/hyperlink" Target="https://a.co/d/4CMfIFG" TargetMode="External"/><Relationship Id="rId66" Type="http://schemas.openxmlformats.org/officeDocument/2006/relationships/hyperlink" Target="https://a.co/d/3je2HUX" TargetMode="External"/><Relationship Id="rId65" Type="http://schemas.openxmlformats.org/officeDocument/2006/relationships/hyperlink" Target="https://a.co/d/gWJzGsG" TargetMode="External"/><Relationship Id="rId68" Type="http://schemas.openxmlformats.org/officeDocument/2006/relationships/hyperlink" Target="https://www.amazon.com/Magnolia-Palace-Novel-Fiona-Davis/dp/0593184033/ref=sr_1_1?crid=3U7G45AEX1GWC&amp;dib=eyJ2IjoiMSJ9.Erhgu5xc5TFZv0jSUq_Y3Qwpv1davQopeWKLENphTHPsLNLYQLBNoWsmkgzmz-WVJ_TtcROE6o-IkyUIWq-5l-uODbAX9CIr57yC37CO40mQX4XMo-Z0GVigmcDfK06JQHnw_MpqRJJ8xRHhIH3Zwm2o8NdE0FkSV8AueHMHEC4UBfJqHNfNyTolVlXswCa9rZr8bihEYH6U_NpuLYU-AoM8s1jtJmbspRF2KcOB094.LmI-pyt0G8Tl1QWr8nw38BqT7ULeW-ohS1jiFYzu1xY&amp;dib_tag=se&amp;keywords=the+magnolia+palace&amp;qid=1734394709&amp;sprefix=the+magnolia+palace%2Caps%2C155&amp;sr=8-1" TargetMode="External"/><Relationship Id="rId67" Type="http://schemas.openxmlformats.org/officeDocument/2006/relationships/hyperlink" Target="https://www.amazon.com/Brothers-Foster-Dulles-Allen-Secret/dp/1250053129/ref=sr_1_1?crid=2LA0JAO8ZTK4W&amp;dib=eyJ2IjoiMSJ9.5mST4JzLmsp9RGPWMczsnFCLR0xzq2BhHnVF7TAm35gCIDCEQOQQFiFn9yqvzoAqdGaksHC2YSMWwWEQxXlYzj3HgilcUWX-CwCXDKLo7ogO3GVgArWN2rSka0U-u8h4snZu40jbeeAJY6TSsmSTjw.Bsnnph_t3xpqZ9GHWFGfVNpkiOAGAlJcM7EFZZwlLvU&amp;dib_tag=se&amp;keywords=the+brothers+john+foster+dulles+allen+dulles&amp;qid=1734394856&amp;sprefix=the+brothers%3A+dul%2Caps%2C143&amp;sr=8-1" TargetMode="External"/><Relationship Id="rId60" Type="http://schemas.openxmlformats.org/officeDocument/2006/relationships/hyperlink" Target="https://a.co/d/hE7mLV9" TargetMode="External"/><Relationship Id="rId69" Type="http://schemas.openxmlformats.org/officeDocument/2006/relationships/hyperlink" Target="https://www.amazon.com/Benevolent-Society-Ill-Mannered-Ladies-ILL-MANNERED/dp/0593440811/ref=sr_1_1?crid=HPGRTUWLMBPV&amp;dib=eyJ2IjoiMSJ9._tMDcegG6Rf-iJzoXL-vvdF-HpX4ro7hsKIWH3Ir2n33SmHqc1lPck-qshcIaHoJHdd8r2XBRJV77BJcLvE5m06bnrDWN_7TBeO4VYCvLt_ptVQOzQK6a1c1aFmfIL8mpccDEY0z4I50Dfsdmebz_jOwVrBEo2EvVCQdYyVoaTzc-xdEXBq2avwn-ZuQVCJtzXHwyFuYV5nFpQY4_LokvjT1yyego3xE-dR0_X2oB94.OdfuE81mjb2NPQHJx3uEHVWBjH_5CIARbiDPU3UQqZs&amp;dib_tag=se&amp;keywords=The+Benevolent+Society+of+Ill-Mannered+Ladies&amp;qid=1734394982&amp;sprefix=the+benevolent+society+of+ill-mannered+ladies%2Caps%2C161&amp;sr=8-1" TargetMode="External"/><Relationship Id="rId51" Type="http://schemas.openxmlformats.org/officeDocument/2006/relationships/hyperlink" Target="https://www.bookbub.com/blog/favorite-book-of-2025-readers-share?position=0&amp;source=multicontent&amp;target=title" TargetMode="External"/><Relationship Id="rId50" Type="http://schemas.openxmlformats.org/officeDocument/2006/relationships/hyperlink" Target="https://www.bookbub.com/blog/favorite-book-of-2025-readers-share?position=0&amp;source=multicontent&amp;target=title" TargetMode="External"/><Relationship Id="rId53" Type="http://schemas.openxmlformats.org/officeDocument/2006/relationships/hyperlink" Target="https://a.co/d/gPoTZG6" TargetMode="External"/><Relationship Id="rId52" Type="http://schemas.openxmlformats.org/officeDocument/2006/relationships/hyperlink" Target="https://www.bookbub.com/blog/hidden-gem-books-2025?position=1&amp;source=multicontent&amp;target=title" TargetMode="External"/><Relationship Id="rId55" Type="http://schemas.openxmlformats.org/officeDocument/2006/relationships/hyperlink" Target="https://a.co/d/ghHp2ZA" TargetMode="External"/><Relationship Id="rId54" Type="http://schemas.openxmlformats.org/officeDocument/2006/relationships/hyperlink" Target="https://www.amazon.com/dp/B0BW2X9B53/?coliid=I2F8VPLJD86H65&amp;colid=E2P2OAQS8S5Y&amp;psc=1&amp;ref_=list_c_wl_lv_ov_lig_dp_it" TargetMode="External"/><Relationship Id="rId57" Type="http://schemas.openxmlformats.org/officeDocument/2006/relationships/hyperlink" Target="https://a.co/d/2hG5mkF" TargetMode="External"/><Relationship Id="rId56" Type="http://schemas.openxmlformats.org/officeDocument/2006/relationships/hyperlink" Target="https://www.amazon.com/dp/1984897705/?coliid=I2J9OLW28GCGHV&amp;colid=E2P2OAQS8S5Y&amp;psc=1&amp;ref_=list_c_wl_lv_ov_lig_dp_it" TargetMode="External"/><Relationship Id="rId59" Type="http://schemas.openxmlformats.org/officeDocument/2006/relationships/hyperlink" Target="https://a.co/d/12EG4uc" TargetMode="External"/><Relationship Id="rId58" Type="http://schemas.openxmlformats.org/officeDocument/2006/relationships/hyperlink" Target="https://a.co/d/0Jq8YM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Row="2"/>
  <cols>
    <col customWidth="1" min="1" max="1" width="6.63"/>
    <col customWidth="1" min="2" max="2" width="32.75"/>
    <col customWidth="1" min="7" max="7" width="31.88"/>
    <col customWidth="1" min="8" max="8" width="19.0"/>
    <col customWidth="1" min="10" max="10" width="22.63"/>
    <col customWidth="1" min="11" max="11" width="41.25"/>
  </cols>
  <sheetData>
    <row r="1" collapsed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6" t="s">
        <v>6</v>
      </c>
      <c r="I1" s="3" t="s">
        <v>7</v>
      </c>
      <c r="J1" s="5" t="s">
        <v>8</v>
      </c>
      <c r="K1" s="6" t="s">
        <v>9</v>
      </c>
    </row>
    <row r="2" hidden="1" outlineLevel="1">
      <c r="A2" s="7"/>
      <c r="B2" s="8" t="str">
        <f t="shared" ref="B2:B3" si="1">hyperlink("https://www.amazon.com/s?k="&amp;ENCODEURL(K2),J2)</f>
        <v>TITLE</v>
      </c>
      <c r="C2" s="9" t="s">
        <v>10</v>
      </c>
      <c r="D2" s="10">
        <v>1.0</v>
      </c>
      <c r="E2" s="10"/>
      <c r="F2" s="10"/>
      <c r="G2" s="11" t="s">
        <v>11</v>
      </c>
      <c r="H2" s="12" t="s">
        <v>12</v>
      </c>
      <c r="I2" s="13"/>
      <c r="J2" s="14" t="s">
        <v>13</v>
      </c>
      <c r="K2" s="15" t="str">
        <f t="shared" ref="K2:K3" si="2">CONCATENATE(J2," by ",H2)</f>
        <v>TITLE by AUTHOR</v>
      </c>
    </row>
    <row r="3" hidden="1" outlineLevel="1">
      <c r="A3" s="7"/>
      <c r="B3" s="8" t="str">
        <f t="shared" si="1"/>
        <v>TITLE</v>
      </c>
      <c r="C3" s="9"/>
      <c r="D3" s="10"/>
      <c r="E3" s="10"/>
      <c r="F3" s="10"/>
      <c r="G3" s="16" t="s">
        <v>14</v>
      </c>
      <c r="H3" s="17" t="str">
        <f>TRIM(MID(G3, FIND(" by ", G3) + 4, LEN(G3)))</f>
        <v>AUTHOR</v>
      </c>
      <c r="I3" s="18"/>
      <c r="J3" s="15" t="str">
        <f>TRIM(LEFT(G3, FIND(" by ", G3) - 1))</f>
        <v>TITLE</v>
      </c>
      <c r="K3" s="15" t="str">
        <f t="shared" si="2"/>
        <v>TITLE by AUTHOR</v>
      </c>
    </row>
    <row r="4">
      <c r="A4" s="19" t="s">
        <v>15</v>
      </c>
      <c r="B4" s="20"/>
      <c r="C4" s="21"/>
      <c r="D4" s="22"/>
      <c r="E4" s="22"/>
      <c r="F4" s="22"/>
      <c r="G4" s="23"/>
      <c r="H4" s="24"/>
      <c r="I4" s="23"/>
      <c r="J4" s="23"/>
      <c r="K4" s="24"/>
    </row>
    <row r="5">
      <c r="A5" s="25" t="s">
        <v>16</v>
      </c>
      <c r="B5" s="26"/>
      <c r="C5" s="27"/>
      <c r="D5" s="28"/>
      <c r="E5" s="28"/>
      <c r="F5" s="28"/>
      <c r="G5" s="27"/>
      <c r="H5" s="29"/>
      <c r="I5" s="27"/>
      <c r="J5" s="27"/>
      <c r="K5" s="29"/>
    </row>
    <row r="6" outlineLevel="1">
      <c r="A6" s="30"/>
      <c r="B6" s="31" t="str">
        <f>hyperlink("https://www.amazon.com/s?k="&amp;ENCODEURL(K6),J6)</f>
        <v>Mathematica: A Secret World of Intuition and Curiosity</v>
      </c>
      <c r="C6" s="32"/>
      <c r="D6" s="33"/>
      <c r="E6" s="33"/>
      <c r="F6" s="33" t="s">
        <v>17</v>
      </c>
      <c r="G6" s="34" t="s">
        <v>18</v>
      </c>
      <c r="H6" s="35" t="s">
        <v>19</v>
      </c>
      <c r="I6" s="36"/>
      <c r="J6" s="34" t="s">
        <v>20</v>
      </c>
      <c r="K6" s="37" t="str">
        <f>CONCATENATE(J6," by ",H6)</f>
        <v>Mathematica: A Secret World of Intuition and Curiosity by David Bessis</v>
      </c>
    </row>
    <row r="7" outlineLevel="1">
      <c r="A7" s="38"/>
      <c r="B7" s="39" t="s">
        <v>21</v>
      </c>
      <c r="C7" s="32" t="s">
        <v>22</v>
      </c>
      <c r="D7" s="33"/>
      <c r="E7" s="33"/>
      <c r="F7" s="33" t="s">
        <v>17</v>
      </c>
      <c r="G7" s="34" t="s">
        <v>23</v>
      </c>
      <c r="H7" s="36"/>
      <c r="I7" s="36"/>
      <c r="J7" s="36"/>
      <c r="K7" s="36"/>
    </row>
    <row r="8" outlineLevel="1">
      <c r="A8" s="38"/>
      <c r="B8" s="40" t="s">
        <v>24</v>
      </c>
      <c r="C8" s="33" t="s">
        <v>10</v>
      </c>
      <c r="D8" s="33"/>
      <c r="E8" s="33"/>
      <c r="F8" s="33" t="s">
        <v>17</v>
      </c>
      <c r="G8" s="34"/>
      <c r="H8" s="36"/>
      <c r="I8" s="36"/>
      <c r="J8" s="36"/>
      <c r="K8" s="36"/>
    </row>
    <row r="9" outlineLevel="1">
      <c r="A9" s="38"/>
      <c r="B9" s="40" t="s">
        <v>25</v>
      </c>
      <c r="C9" s="32" t="s">
        <v>22</v>
      </c>
      <c r="D9" s="33"/>
      <c r="E9" s="33"/>
      <c r="F9" s="33" t="s">
        <v>17</v>
      </c>
      <c r="G9" s="34"/>
      <c r="H9" s="34" t="s">
        <v>26</v>
      </c>
      <c r="I9" s="36"/>
      <c r="J9" s="36"/>
      <c r="K9" s="36"/>
    </row>
    <row r="10" outlineLevel="1">
      <c r="A10" s="7"/>
      <c r="B10" s="41" t="s">
        <v>27</v>
      </c>
      <c r="C10" s="9"/>
      <c r="D10" s="33"/>
      <c r="E10" s="33"/>
      <c r="F10" s="33" t="s">
        <v>17</v>
      </c>
      <c r="G10" s="11" t="s">
        <v>28</v>
      </c>
      <c r="H10" s="12" t="s">
        <v>29</v>
      </c>
      <c r="I10" s="13"/>
      <c r="J10" s="11" t="s">
        <v>27</v>
      </c>
      <c r="K10" s="42" t="s">
        <v>30</v>
      </c>
    </row>
    <row r="11" outlineLevel="1">
      <c r="A11" s="30"/>
      <c r="B11" s="43" t="s">
        <v>31</v>
      </c>
      <c r="C11" s="32" t="s">
        <v>22</v>
      </c>
      <c r="D11" s="33"/>
      <c r="E11" s="33"/>
      <c r="F11" s="33" t="s">
        <v>17</v>
      </c>
      <c r="G11" s="34" t="s">
        <v>32</v>
      </c>
      <c r="H11" s="35"/>
      <c r="I11" s="36"/>
      <c r="J11" s="34"/>
      <c r="K11" s="37"/>
    </row>
    <row r="12" ht="8.25" customHeight="1" outlineLevel="1">
      <c r="A12" s="44"/>
      <c r="B12" s="45"/>
      <c r="C12" s="46"/>
      <c r="D12" s="47"/>
      <c r="E12" s="47"/>
      <c r="F12" s="47"/>
      <c r="G12" s="48"/>
      <c r="H12" s="49"/>
      <c r="I12" s="50"/>
      <c r="J12" s="48"/>
      <c r="K12" s="51"/>
    </row>
    <row r="13" outlineLevel="1">
      <c r="A13" s="7"/>
      <c r="B13" s="52" t="s">
        <v>33</v>
      </c>
      <c r="C13" s="33"/>
      <c r="E13" s="53">
        <v>46097.0</v>
      </c>
      <c r="F13" s="33" t="s">
        <v>34</v>
      </c>
      <c r="G13" s="11"/>
      <c r="H13" s="12" t="s">
        <v>35</v>
      </c>
      <c r="I13" s="13"/>
      <c r="J13" s="11"/>
      <c r="K13" s="42"/>
    </row>
    <row r="14" outlineLevel="1">
      <c r="A14" s="7"/>
      <c r="B14" s="54" t="s">
        <v>36</v>
      </c>
      <c r="C14" s="33" t="s">
        <v>10</v>
      </c>
      <c r="E14" s="53">
        <v>46063.0</v>
      </c>
      <c r="F14" s="33" t="s">
        <v>34</v>
      </c>
      <c r="G14" s="11" t="s">
        <v>37</v>
      </c>
      <c r="H14" s="12" t="s">
        <v>38</v>
      </c>
      <c r="I14" s="13"/>
      <c r="J14" s="11"/>
      <c r="K14" s="42"/>
    </row>
    <row r="15" outlineLevel="1">
      <c r="A15" s="55"/>
      <c r="B15" s="56" t="s">
        <v>39</v>
      </c>
      <c r="C15" s="33" t="s">
        <v>10</v>
      </c>
      <c r="E15" s="53">
        <v>46042.0</v>
      </c>
      <c r="F15" s="33" t="s">
        <v>34</v>
      </c>
      <c r="G15" s="11" t="s">
        <v>37</v>
      </c>
      <c r="H15" s="34" t="s">
        <v>40</v>
      </c>
      <c r="I15" s="57"/>
      <c r="J15" s="58" t="str">
        <f>B15</f>
        <v>Audition: A Novel</v>
      </c>
      <c r="K15" s="36"/>
    </row>
    <row r="16" outlineLevel="1">
      <c r="A16" s="30"/>
      <c r="B16" s="59" t="str">
        <f>hyperlink("https://www.amazon.com/s?k="&amp;ENCODEURL(K16),J16)</f>
        <v>Four Thousand Weeks: Time Management for Mortals</v>
      </c>
      <c r="C16" s="32" t="s">
        <v>10</v>
      </c>
      <c r="E16" s="53">
        <v>46047.0</v>
      </c>
      <c r="F16" s="33" t="s">
        <v>34</v>
      </c>
      <c r="G16" s="36"/>
      <c r="H16" s="60" t="s">
        <v>41</v>
      </c>
      <c r="I16" s="36"/>
      <c r="J16" s="36" t="s">
        <v>42</v>
      </c>
      <c r="K16" s="60" t="str">
        <f>CONCATENATE(J16," by ",H16)</f>
        <v>Four Thousand Weeks: Time Management for Mortals by Oliver Burkeman</v>
      </c>
    </row>
    <row r="17" outlineLevel="1">
      <c r="A17" s="61"/>
      <c r="B17" s="62" t="s">
        <v>43</v>
      </c>
      <c r="C17" s="63"/>
      <c r="E17" s="64">
        <v>46025.0</v>
      </c>
      <c r="F17" s="33" t="s">
        <v>34</v>
      </c>
      <c r="G17" s="65"/>
      <c r="H17" s="65" t="s">
        <v>44</v>
      </c>
      <c r="I17" s="66"/>
      <c r="J17" s="67" t="s">
        <v>43</v>
      </c>
      <c r="K17" s="67" t="s">
        <v>45</v>
      </c>
    </row>
    <row r="18" outlineLevel="1">
      <c r="A18" s="55"/>
      <c r="B18" s="68" t="str">
        <f>hyperlink("https://www.amazon.com/s?k="&amp;ENCODEURL(K18),J18)</f>
        <v>Dawn</v>
      </c>
      <c r="C18" s="33" t="s">
        <v>10</v>
      </c>
      <c r="E18" s="53">
        <v>46042.0</v>
      </c>
      <c r="F18" s="33" t="s">
        <v>34</v>
      </c>
      <c r="G18" s="34" t="s">
        <v>46</v>
      </c>
      <c r="H18" s="34" t="s">
        <v>47</v>
      </c>
      <c r="I18" s="57"/>
      <c r="J18" s="34" t="s">
        <v>48</v>
      </c>
      <c r="K18" s="36" t="str">
        <f>CONCATENATE(J18," by ",H18)</f>
        <v>Dawn by Octavia Butler</v>
      </c>
    </row>
    <row r="19" outlineLevel="1">
      <c r="A19" s="69"/>
      <c r="B19" s="70"/>
      <c r="C19" s="71"/>
      <c r="D19" s="72"/>
      <c r="E19" s="72"/>
      <c r="F19" s="72"/>
      <c r="G19" s="73"/>
      <c r="H19" s="74"/>
      <c r="I19" s="75"/>
      <c r="J19" s="74"/>
      <c r="K19" s="74"/>
    </row>
    <row r="20">
      <c r="A20" s="76" t="s">
        <v>49</v>
      </c>
      <c r="B20" s="77"/>
      <c r="C20" s="27"/>
      <c r="D20" s="28"/>
      <c r="E20" s="28"/>
      <c r="F20" s="28"/>
      <c r="G20" s="27"/>
      <c r="H20" s="29"/>
      <c r="I20" s="27"/>
      <c r="J20" s="27"/>
      <c r="K20" s="29"/>
    </row>
    <row r="21" outlineLevel="1">
      <c r="A21" s="78"/>
      <c r="B21" s="79" t="s">
        <v>50</v>
      </c>
      <c r="C21" s="80" t="s">
        <v>22</v>
      </c>
      <c r="D21" s="81"/>
      <c r="E21" s="81"/>
      <c r="F21" s="81" t="s">
        <v>51</v>
      </c>
      <c r="G21" s="82" t="s">
        <v>52</v>
      </c>
      <c r="H21" s="83"/>
      <c r="I21" s="84"/>
      <c r="J21" s="82"/>
      <c r="K21" s="85"/>
    </row>
    <row r="22" outlineLevel="1">
      <c r="A22" s="78"/>
      <c r="B22" s="79" t="s">
        <v>53</v>
      </c>
      <c r="C22" s="80" t="s">
        <v>22</v>
      </c>
      <c r="D22" s="81"/>
      <c r="E22" s="81"/>
      <c r="F22" s="81" t="s">
        <v>51</v>
      </c>
      <c r="G22" s="82" t="s">
        <v>52</v>
      </c>
      <c r="H22" s="83"/>
      <c r="I22" s="84"/>
      <c r="J22" s="82"/>
      <c r="K22" s="85"/>
    </row>
    <row r="23" outlineLevel="1">
      <c r="A23" s="78"/>
      <c r="B23" s="79" t="s">
        <v>54</v>
      </c>
      <c r="C23" s="80" t="s">
        <v>22</v>
      </c>
      <c r="D23" s="81"/>
      <c r="E23" s="81"/>
      <c r="F23" s="81" t="s">
        <v>51</v>
      </c>
      <c r="G23" s="82" t="s">
        <v>52</v>
      </c>
      <c r="H23" s="83"/>
      <c r="I23" s="84"/>
      <c r="J23" s="82"/>
      <c r="K23" s="85"/>
    </row>
    <row r="24" outlineLevel="1">
      <c r="A24" s="78"/>
      <c r="B24" s="79" t="s">
        <v>55</v>
      </c>
      <c r="C24" s="80" t="s">
        <v>22</v>
      </c>
      <c r="D24" s="81"/>
      <c r="E24" s="81"/>
      <c r="F24" s="81" t="s">
        <v>51</v>
      </c>
      <c r="G24" s="82" t="s">
        <v>52</v>
      </c>
      <c r="H24" s="83"/>
      <c r="I24" s="84"/>
      <c r="J24" s="82"/>
      <c r="K24" s="85"/>
    </row>
    <row r="25" outlineLevel="1">
      <c r="A25" s="78"/>
      <c r="B25" s="79" t="s">
        <v>56</v>
      </c>
      <c r="C25" s="80" t="s">
        <v>22</v>
      </c>
      <c r="D25" s="81"/>
      <c r="E25" s="81"/>
      <c r="F25" s="81" t="s">
        <v>51</v>
      </c>
      <c r="G25" s="82" t="s">
        <v>52</v>
      </c>
      <c r="H25" s="83"/>
      <c r="I25" s="84"/>
      <c r="J25" s="82"/>
      <c r="K25" s="85"/>
    </row>
    <row r="26" outlineLevel="1">
      <c r="A26" s="30"/>
      <c r="B26" s="86" t="s">
        <v>57</v>
      </c>
      <c r="C26" s="33" t="s">
        <v>22</v>
      </c>
      <c r="D26" s="33"/>
      <c r="E26" s="33"/>
      <c r="F26" s="81" t="s">
        <v>51</v>
      </c>
      <c r="G26" s="87"/>
      <c r="H26" s="35" t="s">
        <v>58</v>
      </c>
      <c r="I26" s="36"/>
      <c r="J26" s="34"/>
      <c r="K26" s="37"/>
    </row>
    <row r="27" outlineLevel="1">
      <c r="A27" s="30"/>
      <c r="B27" s="86" t="s">
        <v>59</v>
      </c>
      <c r="C27" s="33" t="s">
        <v>22</v>
      </c>
      <c r="D27" s="33"/>
      <c r="E27" s="33"/>
      <c r="F27" s="81" t="s">
        <v>51</v>
      </c>
      <c r="G27" s="88" t="s">
        <v>60</v>
      </c>
      <c r="H27" s="35"/>
      <c r="I27" s="36"/>
      <c r="J27" s="34"/>
      <c r="K27" s="37"/>
    </row>
    <row r="28" outlineLevel="1">
      <c r="A28" s="30"/>
      <c r="B28" s="89" t="s">
        <v>61</v>
      </c>
      <c r="C28" s="33"/>
      <c r="D28" s="33"/>
      <c r="E28" s="33"/>
      <c r="F28" s="81" t="s">
        <v>51</v>
      </c>
      <c r="G28" s="34"/>
      <c r="H28" s="35"/>
      <c r="I28" s="36"/>
      <c r="J28" s="34"/>
      <c r="K28" s="37"/>
    </row>
    <row r="29" outlineLevel="1">
      <c r="A29" s="30"/>
      <c r="B29" s="43" t="s">
        <v>62</v>
      </c>
      <c r="C29" s="33" t="s">
        <v>22</v>
      </c>
      <c r="D29" s="33"/>
      <c r="E29" s="33"/>
      <c r="F29" s="81" t="s">
        <v>51</v>
      </c>
      <c r="G29" s="34" t="s">
        <v>63</v>
      </c>
      <c r="H29" s="35" t="s">
        <v>64</v>
      </c>
      <c r="I29" s="36"/>
      <c r="J29" s="34"/>
      <c r="K29" s="37"/>
    </row>
    <row r="30" outlineLevel="1">
      <c r="A30" s="90"/>
      <c r="B30" s="91" t="str">
        <f t="shared" ref="B30:B32" si="3">hyperlink("https://www.amazon.com/s?k="&amp;ENCODEURL(K30),J30)</f>
        <v>CIRCE</v>
      </c>
      <c r="C30" s="63" t="s">
        <v>10</v>
      </c>
      <c r="D30" s="92">
        <v>1.0</v>
      </c>
      <c r="E30" s="92"/>
      <c r="F30" s="81" t="s">
        <v>51</v>
      </c>
      <c r="G30" s="67" t="s">
        <v>65</v>
      </c>
      <c r="H30" s="93" t="s">
        <v>66</v>
      </c>
      <c r="I30" s="67"/>
      <c r="J30" s="67" t="s">
        <v>67</v>
      </c>
      <c r="K30" s="93" t="str">
        <f t="shared" ref="K30:K33" si="4">CONCATENATE(J30," by ",H30)</f>
        <v>CIRCE by Madeline Miller</v>
      </c>
    </row>
    <row r="31" outlineLevel="1">
      <c r="A31" s="90"/>
      <c r="B31" s="91" t="str">
        <f t="shared" si="3"/>
        <v>The True True Story of Raja the Gullible (and His Mother)</v>
      </c>
      <c r="C31" s="63" t="s">
        <v>10</v>
      </c>
      <c r="D31" s="92">
        <v>1.0</v>
      </c>
      <c r="E31" s="92"/>
      <c r="F31" s="81" t="s">
        <v>51</v>
      </c>
      <c r="G31" s="67" t="s">
        <v>68</v>
      </c>
      <c r="H31" s="93" t="s">
        <v>69</v>
      </c>
      <c r="I31" s="67"/>
      <c r="J31" s="94" t="s">
        <v>70</v>
      </c>
      <c r="K31" s="93" t="str">
        <f t="shared" si="4"/>
        <v>The True True Story of Raja the Gullible (and His Mother) by Rabih Alameddine</v>
      </c>
    </row>
    <row r="32" outlineLevel="1">
      <c r="A32" s="90"/>
      <c r="B32" s="91" t="str">
        <f t="shared" si="3"/>
        <v>The Witness: The most authentic, twisty legal thriller, from the barrister author of In Black and White</v>
      </c>
      <c r="C32" s="63" t="s">
        <v>10</v>
      </c>
      <c r="D32" s="92">
        <v>1.0</v>
      </c>
      <c r="E32" s="92"/>
      <c r="F32" s="81" t="s">
        <v>51</v>
      </c>
      <c r="G32" s="67"/>
      <c r="H32" s="93" t="s">
        <v>71</v>
      </c>
      <c r="I32" s="67"/>
      <c r="J32" s="67" t="s">
        <v>72</v>
      </c>
      <c r="K32" s="93" t="str">
        <f t="shared" si="4"/>
        <v>The Witness: The most authentic, twisty legal thriller, from the barrister author of In Black and White by Alexandra Wilson</v>
      </c>
    </row>
    <row r="33" outlineLevel="1">
      <c r="A33" s="90"/>
      <c r="B33" s="91" t="s">
        <v>73</v>
      </c>
      <c r="C33" s="95" t="s">
        <v>74</v>
      </c>
      <c r="D33" s="92">
        <v>2.0</v>
      </c>
      <c r="E33" s="92"/>
      <c r="F33" s="81" t="s">
        <v>51</v>
      </c>
      <c r="G33" s="67"/>
      <c r="H33" s="93" t="s">
        <v>75</v>
      </c>
      <c r="I33" s="67"/>
      <c r="J33" s="67" t="s">
        <v>73</v>
      </c>
      <c r="K33" s="93" t="str">
        <f t="shared" si="4"/>
        <v>Chatter: The Voice in Our Head, Why It Matters, and How to Harness It by Ethan Kross</v>
      </c>
    </row>
    <row r="34">
      <c r="A34" s="76" t="s">
        <v>76</v>
      </c>
      <c r="B34" s="77"/>
      <c r="C34" s="27"/>
      <c r="D34" s="28"/>
      <c r="E34" s="28"/>
      <c r="F34" s="28"/>
      <c r="G34" s="27"/>
      <c r="H34" s="29"/>
      <c r="I34" s="27"/>
      <c r="J34" s="27"/>
      <c r="K34" s="29"/>
    </row>
    <row r="35" outlineLevel="1">
      <c r="A35" s="96"/>
      <c r="B35" s="97" t="s">
        <v>77</v>
      </c>
      <c r="C35" s="98" t="s">
        <v>10</v>
      </c>
      <c r="E35" s="99"/>
      <c r="F35" s="99" t="s">
        <v>78</v>
      </c>
      <c r="G35" s="100"/>
      <c r="H35" s="100"/>
      <c r="I35" s="100"/>
      <c r="J35" s="100"/>
      <c r="K35" s="100"/>
    </row>
    <row r="36" outlineLevel="1">
      <c r="A36" s="101"/>
      <c r="B36" s="102" t="s">
        <v>79</v>
      </c>
      <c r="C36" s="98" t="s">
        <v>10</v>
      </c>
      <c r="E36" s="99"/>
      <c r="F36" s="99" t="s">
        <v>78</v>
      </c>
      <c r="G36" s="100"/>
      <c r="H36" s="100"/>
      <c r="I36" s="100"/>
      <c r="J36" s="100"/>
      <c r="K36" s="100"/>
    </row>
    <row r="37" outlineLevel="1">
      <c r="A37" s="101"/>
      <c r="B37" s="102" t="s">
        <v>80</v>
      </c>
      <c r="C37" s="98" t="s">
        <v>22</v>
      </c>
      <c r="E37" s="99"/>
      <c r="F37" s="99" t="s">
        <v>78</v>
      </c>
      <c r="G37" s="100"/>
      <c r="H37" s="100"/>
      <c r="I37" s="100"/>
      <c r="J37" s="100"/>
      <c r="K37" s="100"/>
    </row>
    <row r="38" outlineLevel="1">
      <c r="A38" s="101"/>
      <c r="B38" s="102" t="s">
        <v>81</v>
      </c>
      <c r="C38" s="98" t="s">
        <v>10</v>
      </c>
      <c r="E38" s="99"/>
      <c r="F38" s="99" t="s">
        <v>78</v>
      </c>
      <c r="G38" s="100"/>
      <c r="H38" s="100"/>
      <c r="I38" s="100"/>
      <c r="J38" s="100"/>
      <c r="K38" s="100"/>
    </row>
    <row r="39" outlineLevel="1">
      <c r="A39" s="103"/>
      <c r="B39" s="104" t="s">
        <v>82</v>
      </c>
      <c r="C39" s="98" t="s">
        <v>22</v>
      </c>
      <c r="E39" s="99"/>
      <c r="F39" s="99" t="s">
        <v>78</v>
      </c>
      <c r="G39" s="100"/>
      <c r="H39" s="100"/>
      <c r="I39" s="98" t="s">
        <v>83</v>
      </c>
      <c r="J39" s="100"/>
      <c r="K39" s="100"/>
    </row>
    <row r="40" outlineLevel="1">
      <c r="A40" s="105"/>
      <c r="B40" s="106" t="s">
        <v>84</v>
      </c>
      <c r="C40" s="98" t="s">
        <v>22</v>
      </c>
      <c r="E40" s="99"/>
      <c r="F40" s="99" t="s">
        <v>78</v>
      </c>
      <c r="G40" s="100"/>
      <c r="H40" s="100"/>
      <c r="I40" s="98" t="s">
        <v>83</v>
      </c>
      <c r="J40" s="100"/>
      <c r="K40" s="100"/>
    </row>
    <row r="41" outlineLevel="1">
      <c r="A41" s="103"/>
      <c r="B41" s="104" t="s">
        <v>85</v>
      </c>
      <c r="C41" s="98" t="s">
        <v>10</v>
      </c>
      <c r="E41" s="99"/>
      <c r="F41" s="99" t="s">
        <v>78</v>
      </c>
      <c r="G41" s="100"/>
      <c r="H41" s="100"/>
      <c r="I41" s="100"/>
      <c r="J41" s="100"/>
      <c r="K41" s="100"/>
    </row>
    <row r="42">
      <c r="A42" s="76" t="s">
        <v>86</v>
      </c>
      <c r="B42" s="77"/>
      <c r="C42" s="27"/>
      <c r="D42" s="28"/>
      <c r="E42" s="28"/>
      <c r="F42" s="28"/>
      <c r="G42" s="27"/>
      <c r="H42" s="29"/>
      <c r="I42" s="27"/>
      <c r="J42" s="27"/>
      <c r="K42" s="29"/>
    </row>
    <row r="43" outlineLevel="1">
      <c r="A43" s="107"/>
      <c r="B43" s="108" t="s">
        <v>87</v>
      </c>
      <c r="C43" s="109" t="s">
        <v>74</v>
      </c>
      <c r="D43" s="109">
        <v>2.0</v>
      </c>
      <c r="E43" s="109"/>
      <c r="F43" s="81" t="s">
        <v>51</v>
      </c>
      <c r="G43" s="110"/>
      <c r="H43" s="110"/>
      <c r="I43" s="111" t="s">
        <v>83</v>
      </c>
      <c r="J43" s="110"/>
      <c r="K43" s="110"/>
    </row>
    <row r="44" outlineLevel="1">
      <c r="A44" s="112"/>
      <c r="B44" s="113" t="s">
        <v>88</v>
      </c>
      <c r="C44" s="32" t="s">
        <v>22</v>
      </c>
      <c r="D44" s="33">
        <v>2.0</v>
      </c>
      <c r="E44" s="33"/>
      <c r="F44" s="81" t="s">
        <v>51</v>
      </c>
      <c r="G44" s="36"/>
      <c r="H44" s="36"/>
      <c r="I44" s="36"/>
      <c r="J44" s="36"/>
      <c r="K44" s="36"/>
    </row>
    <row r="45" outlineLevel="1">
      <c r="A45" s="112"/>
      <c r="B45" s="113" t="str">
        <f>hyperlink("https://www.amazon.com/s?k="&amp;ENCODEURL(K45),J45)</f>
        <v>The Other Side of Change: Who We Become When Life Makes Other Plans</v>
      </c>
      <c r="C45" s="114" t="s">
        <v>22</v>
      </c>
      <c r="D45" s="33">
        <v>1.0</v>
      </c>
      <c r="E45" s="33"/>
      <c r="F45" s="81" t="s">
        <v>51</v>
      </c>
      <c r="G45" s="36"/>
      <c r="H45" s="34" t="s">
        <v>89</v>
      </c>
      <c r="I45" s="36"/>
      <c r="J45" s="34" t="s">
        <v>90</v>
      </c>
      <c r="K45" s="34" t="str">
        <f>CONCATENATE(J45," by ",H45)</f>
        <v>The Other Side of Change: Who We Become When Life Makes Other Plans by Maya Shankar</v>
      </c>
    </row>
    <row r="46" outlineLevel="1">
      <c r="A46" s="112"/>
      <c r="B46" s="115" t="s">
        <v>91</v>
      </c>
      <c r="C46" s="32" t="s">
        <v>22</v>
      </c>
      <c r="D46" s="33">
        <v>2.0</v>
      </c>
      <c r="E46" s="33"/>
      <c r="F46" s="81" t="s">
        <v>51</v>
      </c>
      <c r="G46" s="36"/>
      <c r="H46" s="36"/>
      <c r="I46" s="36"/>
      <c r="J46" s="36"/>
      <c r="K46" s="36"/>
    </row>
    <row r="47" outlineLevel="1">
      <c r="A47" s="112"/>
      <c r="B47" s="113" t="s">
        <v>92</v>
      </c>
      <c r="C47" s="32" t="s">
        <v>22</v>
      </c>
      <c r="D47" s="33">
        <v>2.0</v>
      </c>
      <c r="E47" s="33"/>
      <c r="F47" s="81" t="s">
        <v>51</v>
      </c>
      <c r="G47" s="36"/>
      <c r="H47" s="36"/>
      <c r="I47" s="36"/>
      <c r="J47" s="36"/>
      <c r="K47" s="36"/>
    </row>
    <row r="48" outlineLevel="1">
      <c r="A48" s="112"/>
      <c r="B48" s="113" t="s">
        <v>93</v>
      </c>
      <c r="C48" s="32" t="s">
        <v>22</v>
      </c>
      <c r="D48" s="33">
        <v>2.0</v>
      </c>
      <c r="E48" s="33"/>
      <c r="F48" s="81" t="s">
        <v>51</v>
      </c>
      <c r="G48" s="36"/>
      <c r="H48" s="36"/>
      <c r="I48" s="36"/>
      <c r="J48" s="36"/>
      <c r="K48" s="36"/>
    </row>
    <row r="49" outlineLevel="1">
      <c r="A49" s="112"/>
      <c r="B49" s="113" t="s">
        <v>94</v>
      </c>
      <c r="C49" s="32" t="s">
        <v>22</v>
      </c>
      <c r="D49" s="33">
        <v>2.0</v>
      </c>
      <c r="E49" s="33"/>
      <c r="F49" s="81" t="s">
        <v>51</v>
      </c>
      <c r="G49" s="36"/>
      <c r="H49" s="36"/>
      <c r="I49" s="36"/>
      <c r="J49" s="36"/>
      <c r="K49" s="36"/>
    </row>
    <row r="50" outlineLevel="1">
      <c r="A50" s="112"/>
      <c r="B50" s="113" t="s">
        <v>95</v>
      </c>
      <c r="C50" s="32" t="s">
        <v>22</v>
      </c>
      <c r="D50" s="33">
        <v>2.0</v>
      </c>
      <c r="E50" s="33"/>
      <c r="F50" s="81" t="s">
        <v>51</v>
      </c>
      <c r="G50" s="36"/>
      <c r="H50" s="36"/>
      <c r="I50" s="9" t="s">
        <v>83</v>
      </c>
      <c r="J50" s="36"/>
      <c r="K50" s="36"/>
    </row>
    <row r="51" outlineLevel="1">
      <c r="A51" s="7"/>
      <c r="B51" s="8" t="str">
        <f>hyperlink("https://www.amazon.com/s?k="&amp;ENCODEURL(K51),J51)</f>
        <v>Talk: The Science of Conversation and the Art of Being Ourselves</v>
      </c>
      <c r="C51" s="33" t="s">
        <v>22</v>
      </c>
      <c r="D51" s="116">
        <v>2.0</v>
      </c>
      <c r="E51" s="116"/>
      <c r="F51" s="81" t="s">
        <v>51</v>
      </c>
      <c r="G51" s="117"/>
      <c r="H51" s="118" t="s">
        <v>96</v>
      </c>
      <c r="I51" s="119"/>
      <c r="J51" s="42" t="s">
        <v>97</v>
      </c>
      <c r="K51" s="120" t="s">
        <v>98</v>
      </c>
    </row>
    <row r="52" outlineLevel="1">
      <c r="A52" s="112"/>
      <c r="B52" s="113" t="s">
        <v>99</v>
      </c>
      <c r="C52" s="32" t="s">
        <v>22</v>
      </c>
      <c r="D52" s="33">
        <v>2.0</v>
      </c>
      <c r="E52" s="33"/>
      <c r="F52" s="81" t="s">
        <v>51</v>
      </c>
      <c r="G52" s="36"/>
      <c r="H52" s="36"/>
      <c r="I52" s="9" t="s">
        <v>83</v>
      </c>
      <c r="J52" s="36"/>
      <c r="K52" s="36"/>
    </row>
    <row r="53" outlineLevel="1">
      <c r="A53" s="121"/>
      <c r="B53" s="122" t="s">
        <v>100</v>
      </c>
      <c r="C53" s="32" t="s">
        <v>22</v>
      </c>
      <c r="D53" s="33">
        <v>2.0</v>
      </c>
      <c r="E53" s="33"/>
      <c r="F53" s="81" t="s">
        <v>51</v>
      </c>
      <c r="G53" s="36"/>
      <c r="H53" s="36"/>
      <c r="I53" s="32" t="s">
        <v>101</v>
      </c>
      <c r="J53" s="36"/>
      <c r="K53" s="36"/>
    </row>
    <row r="54" outlineLevel="1">
      <c r="A54" s="30"/>
      <c r="B54" s="59" t="str">
        <f t="shared" ref="B54:B64" si="5">hyperlink("https://www.amazon.com/s?k="&amp;ENCODEURL(K54),J54)</f>
        <v>Baldwin</v>
      </c>
      <c r="C54" s="33" t="s">
        <v>22</v>
      </c>
      <c r="D54" s="116">
        <v>2.0</v>
      </c>
      <c r="E54" s="116"/>
      <c r="F54" s="81" t="s">
        <v>51</v>
      </c>
      <c r="G54" s="123" t="s">
        <v>102</v>
      </c>
      <c r="H54" s="34" t="s">
        <v>103</v>
      </c>
      <c r="I54" s="32"/>
      <c r="J54" s="34" t="s">
        <v>104</v>
      </c>
      <c r="K54" s="60" t="str">
        <f t="shared" ref="K54:K64" si="6">CONCATENATE(J54," by ",H54)</f>
        <v>Baldwin by Nicholas Boggs</v>
      </c>
    </row>
    <row r="55" outlineLevel="1">
      <c r="A55" s="30"/>
      <c r="B55" s="59" t="str">
        <f t="shared" si="5"/>
        <v>The Director</v>
      </c>
      <c r="C55" s="33" t="s">
        <v>22</v>
      </c>
      <c r="D55" s="116">
        <v>2.0</v>
      </c>
      <c r="E55" s="116"/>
      <c r="F55" s="81" t="s">
        <v>51</v>
      </c>
      <c r="G55" s="123" t="s">
        <v>105</v>
      </c>
      <c r="H55" s="35" t="s">
        <v>106</v>
      </c>
      <c r="I55" s="36"/>
      <c r="J55" s="124" t="s">
        <v>107</v>
      </c>
      <c r="K55" s="60" t="str">
        <f t="shared" si="6"/>
        <v>The Director by Daniel Kehlmann</v>
      </c>
    </row>
    <row r="56" outlineLevel="1">
      <c r="A56" s="30"/>
      <c r="B56" s="59" t="str">
        <f t="shared" si="5"/>
        <v>The Age of Choice</v>
      </c>
      <c r="C56" s="33" t="s">
        <v>22</v>
      </c>
      <c r="D56" s="116">
        <v>2.0</v>
      </c>
      <c r="E56" s="116"/>
      <c r="F56" s="81" t="s">
        <v>51</v>
      </c>
      <c r="G56" s="123" t="s">
        <v>108</v>
      </c>
      <c r="H56" s="35" t="s">
        <v>109</v>
      </c>
      <c r="I56" s="36"/>
      <c r="J56" s="124" t="s">
        <v>110</v>
      </c>
      <c r="K56" s="60" t="str">
        <f t="shared" si="6"/>
        <v>The Age of Choice by Sophia Rosenfeld</v>
      </c>
    </row>
    <row r="57" outlineLevel="1">
      <c r="A57" s="30"/>
      <c r="B57" s="59" t="str">
        <f t="shared" si="5"/>
        <v>Careless People</v>
      </c>
      <c r="C57" s="114" t="s">
        <v>22</v>
      </c>
      <c r="D57" s="116">
        <v>2.0</v>
      </c>
      <c r="E57" s="116"/>
      <c r="F57" s="81" t="s">
        <v>51</v>
      </c>
      <c r="G57" s="123" t="s">
        <v>111</v>
      </c>
      <c r="H57" s="35" t="s">
        <v>112</v>
      </c>
      <c r="I57" s="36"/>
      <c r="J57" s="124" t="s">
        <v>113</v>
      </c>
      <c r="K57" s="60" t="str">
        <f t="shared" si="6"/>
        <v>Careless People by Sarah Wynn-Williams</v>
      </c>
    </row>
    <row r="58" outlineLevel="1">
      <c r="A58" s="30"/>
      <c r="B58" s="59" t="str">
        <f t="shared" si="5"/>
        <v>Dark Renaissance</v>
      </c>
      <c r="C58" s="33" t="s">
        <v>22</v>
      </c>
      <c r="D58" s="116">
        <v>2.0</v>
      </c>
      <c r="E58" s="116"/>
      <c r="F58" s="81" t="s">
        <v>51</v>
      </c>
      <c r="G58" s="123" t="s">
        <v>114</v>
      </c>
      <c r="H58" s="35" t="s">
        <v>115</v>
      </c>
      <c r="I58" s="36"/>
      <c r="J58" s="124" t="s">
        <v>116</v>
      </c>
      <c r="K58" s="60" t="str">
        <f t="shared" si="6"/>
        <v>Dark Renaissance by Stephen Greenblatt</v>
      </c>
    </row>
    <row r="59" outlineLevel="1">
      <c r="A59" s="30"/>
      <c r="B59" s="59" t="str">
        <f t="shared" si="5"/>
        <v>The British Are Coming: The War for America, Lexington to Princeton, 1775-1777</v>
      </c>
      <c r="C59" s="32" t="s">
        <v>22</v>
      </c>
      <c r="D59" s="116">
        <v>2.0</v>
      </c>
      <c r="E59" s="116"/>
      <c r="F59" s="81" t="s">
        <v>51</v>
      </c>
      <c r="G59" s="123" t="s">
        <v>117</v>
      </c>
      <c r="H59" s="35" t="s">
        <v>118</v>
      </c>
      <c r="I59" s="36"/>
      <c r="J59" s="125" t="s">
        <v>119</v>
      </c>
      <c r="K59" s="60" t="str">
        <f t="shared" si="6"/>
        <v>The British Are Coming: The War for America, Lexington to Princeton, 1775-1777 by Rick Atkinson</v>
      </c>
    </row>
    <row r="60" outlineLevel="1">
      <c r="A60" s="30"/>
      <c r="B60" s="59" t="str">
        <f t="shared" si="5"/>
        <v>John &amp; Paul</v>
      </c>
      <c r="C60" s="32" t="s">
        <v>22</v>
      </c>
      <c r="D60" s="116">
        <v>2.0</v>
      </c>
      <c r="E60" s="116"/>
      <c r="F60" s="81" t="s">
        <v>51</v>
      </c>
      <c r="G60" s="123" t="s">
        <v>120</v>
      </c>
      <c r="H60" s="35" t="s">
        <v>121</v>
      </c>
      <c r="I60" s="36"/>
      <c r="J60" s="124" t="s">
        <v>122</v>
      </c>
      <c r="K60" s="60" t="str">
        <f t="shared" si="6"/>
        <v>John &amp; Paul by Ian Leslie</v>
      </c>
    </row>
    <row r="61" outlineLevel="1">
      <c r="A61" s="30"/>
      <c r="B61" s="59" t="str">
        <f t="shared" si="5"/>
        <v>King of Kings</v>
      </c>
      <c r="C61" s="32" t="s">
        <v>22</v>
      </c>
      <c r="D61" s="116">
        <v>1.0</v>
      </c>
      <c r="E61" s="116"/>
      <c r="F61" s="81" t="s">
        <v>51</v>
      </c>
      <c r="G61" s="123" t="s">
        <v>123</v>
      </c>
      <c r="H61" s="35" t="s">
        <v>124</v>
      </c>
      <c r="I61" s="36"/>
      <c r="J61" s="124" t="s">
        <v>125</v>
      </c>
      <c r="K61" s="60" t="str">
        <f t="shared" si="6"/>
        <v>King of Kings by Scott Anderson</v>
      </c>
    </row>
    <row r="62" outlineLevel="1">
      <c r="A62" s="30"/>
      <c r="B62" s="59" t="str">
        <f t="shared" si="5"/>
        <v>Mark Twain</v>
      </c>
      <c r="C62" s="32" t="s">
        <v>22</v>
      </c>
      <c r="D62" s="116">
        <v>2.0</v>
      </c>
      <c r="E62" s="116"/>
      <c r="F62" s="81" t="s">
        <v>51</v>
      </c>
      <c r="G62" s="123" t="s">
        <v>126</v>
      </c>
      <c r="H62" s="35" t="s">
        <v>127</v>
      </c>
      <c r="I62" s="36"/>
      <c r="J62" s="124" t="s">
        <v>128</v>
      </c>
      <c r="K62" s="60" t="str">
        <f t="shared" si="6"/>
        <v>Mark Twain by Ron Chernow</v>
      </c>
    </row>
    <row r="63" outlineLevel="1">
      <c r="A63" s="30"/>
      <c r="B63" s="59">
        <f t="shared" si="5"/>
        <v>1929</v>
      </c>
      <c r="C63" s="32" t="s">
        <v>22</v>
      </c>
      <c r="D63" s="116">
        <v>2.0</v>
      </c>
      <c r="E63" s="116"/>
      <c r="F63" s="81" t="s">
        <v>51</v>
      </c>
      <c r="G63" s="123" t="s">
        <v>129</v>
      </c>
      <c r="H63" s="35" t="s">
        <v>130</v>
      </c>
      <c r="I63" s="36"/>
      <c r="J63" s="126">
        <v>1929.0</v>
      </c>
      <c r="K63" s="60" t="str">
        <f t="shared" si="6"/>
        <v>1929 by Andrew Ross Sorkin</v>
      </c>
    </row>
    <row r="64" outlineLevel="1">
      <c r="A64" s="30"/>
      <c r="B64" s="59" t="str">
        <f t="shared" si="5"/>
        <v>The Peepshow</v>
      </c>
      <c r="C64" s="32" t="s">
        <v>22</v>
      </c>
      <c r="D64" s="116">
        <v>2.0</v>
      </c>
      <c r="E64" s="116"/>
      <c r="F64" s="81" t="s">
        <v>51</v>
      </c>
      <c r="G64" s="123" t="s">
        <v>131</v>
      </c>
      <c r="H64" s="35" t="s">
        <v>132</v>
      </c>
      <c r="I64" s="36"/>
      <c r="J64" s="124" t="s">
        <v>133</v>
      </c>
      <c r="K64" s="60" t="str">
        <f t="shared" si="6"/>
        <v>The Peepshow by Kate Summerscale</v>
      </c>
    </row>
    <row r="65" outlineLevel="1">
      <c r="A65" s="30"/>
      <c r="B65" s="127" t="s">
        <v>134</v>
      </c>
      <c r="C65" s="128" t="s">
        <v>10</v>
      </c>
      <c r="D65" s="33">
        <v>2.0</v>
      </c>
      <c r="E65" s="33"/>
      <c r="F65" s="81" t="s">
        <v>51</v>
      </c>
      <c r="G65" s="129" t="s">
        <v>135</v>
      </c>
      <c r="H65" s="36" t="s">
        <v>136</v>
      </c>
      <c r="J65" s="60" t="s">
        <v>134</v>
      </c>
      <c r="K65" s="60"/>
    </row>
    <row r="66" outlineLevel="1">
      <c r="A66" s="30"/>
      <c r="B66" s="59" t="str">
        <f t="shared" ref="B66:B72" si="7">hyperlink("https://www.amazon.com/s?k="&amp;ENCODEURL(K66),J66)</f>
        <v>The Irish Goodbye</v>
      </c>
      <c r="C66" s="32" t="s">
        <v>10</v>
      </c>
      <c r="D66" s="33">
        <v>2.0</v>
      </c>
      <c r="E66" s="33"/>
      <c r="F66" s="81" t="s">
        <v>51</v>
      </c>
      <c r="G66" s="129" t="s">
        <v>137</v>
      </c>
      <c r="H66" s="36" t="s">
        <v>138</v>
      </c>
      <c r="I66" s="36"/>
      <c r="J66" s="60" t="s">
        <v>139</v>
      </c>
      <c r="K66" s="60" t="str">
        <f t="shared" ref="K66:K70" si="8">CONCATENATE(J66," by ",H66)</f>
        <v>The Irish Goodbye by Heather Aimee O’Neill</v>
      </c>
    </row>
    <row r="67" outlineLevel="1">
      <c r="A67" s="30"/>
      <c r="B67" s="59" t="str">
        <f t="shared" si="7"/>
        <v>Amsterdam</v>
      </c>
      <c r="C67" s="128" t="s">
        <v>10</v>
      </c>
      <c r="D67" s="33">
        <v>2.0</v>
      </c>
      <c r="E67" s="33"/>
      <c r="F67" s="81" t="s">
        <v>51</v>
      </c>
      <c r="G67" s="129" t="s">
        <v>140</v>
      </c>
      <c r="H67" s="36" t="s">
        <v>141</v>
      </c>
      <c r="I67" s="36"/>
      <c r="J67" s="60" t="s">
        <v>142</v>
      </c>
      <c r="K67" s="60" t="str">
        <f t="shared" si="8"/>
        <v>Amsterdam by Ian McEwan</v>
      </c>
    </row>
    <row r="68" outlineLevel="1">
      <c r="A68" s="30"/>
      <c r="B68" s="59" t="str">
        <f t="shared" si="7"/>
        <v>The Extraordinary Life of Sam Hell</v>
      </c>
      <c r="C68" s="32" t="s">
        <v>10</v>
      </c>
      <c r="D68" s="33">
        <v>2.0</v>
      </c>
      <c r="E68" s="33"/>
      <c r="F68" s="81" t="s">
        <v>51</v>
      </c>
      <c r="G68" s="129" t="s">
        <v>143</v>
      </c>
      <c r="H68" s="36" t="s">
        <v>144</v>
      </c>
      <c r="I68" s="36"/>
      <c r="J68" s="60" t="s">
        <v>145</v>
      </c>
      <c r="K68" s="60" t="str">
        <f t="shared" si="8"/>
        <v>The Extraordinary Life of Sam Hell by Robert Dugoni</v>
      </c>
    </row>
    <row r="69" outlineLevel="1">
      <c r="A69" s="30"/>
      <c r="B69" s="59" t="str">
        <f t="shared" si="7"/>
        <v>Buckeye</v>
      </c>
      <c r="C69" s="32" t="s">
        <v>10</v>
      </c>
      <c r="D69" s="33">
        <v>2.0</v>
      </c>
      <c r="E69" s="33"/>
      <c r="F69" s="81" t="s">
        <v>51</v>
      </c>
      <c r="G69" s="129" t="s">
        <v>146</v>
      </c>
      <c r="H69" s="36" t="s">
        <v>147</v>
      </c>
      <c r="I69" s="36"/>
      <c r="J69" s="60" t="s">
        <v>148</v>
      </c>
      <c r="K69" s="60" t="str">
        <f t="shared" si="8"/>
        <v>Buckeye by Patrick Ryan</v>
      </c>
    </row>
    <row r="70" outlineLevel="1">
      <c r="A70" s="30"/>
      <c r="B70" s="59" t="str">
        <f t="shared" si="7"/>
        <v>Night Watch</v>
      </c>
      <c r="C70" s="32" t="s">
        <v>10</v>
      </c>
      <c r="D70" s="33">
        <v>2.0</v>
      </c>
      <c r="E70" s="33"/>
      <c r="F70" s="81" t="s">
        <v>51</v>
      </c>
      <c r="G70" s="129" t="s">
        <v>149</v>
      </c>
      <c r="H70" s="36" t="s">
        <v>150</v>
      </c>
      <c r="I70" s="36"/>
      <c r="J70" s="60" t="s">
        <v>151</v>
      </c>
      <c r="K70" s="60" t="str">
        <f t="shared" si="8"/>
        <v>Night Watch by Jayne Anne Phillips</v>
      </c>
    </row>
    <row r="71" outlineLevel="1">
      <c r="A71" s="30"/>
      <c r="B71" s="59" t="str">
        <f t="shared" si="7"/>
        <v>Reports of His Death Have Been Greatly Exaggerated</v>
      </c>
      <c r="C71" s="32" t="s">
        <v>10</v>
      </c>
      <c r="D71" s="33">
        <v>2.0</v>
      </c>
      <c r="E71" s="33"/>
      <c r="F71" s="81" t="s">
        <v>51</v>
      </c>
      <c r="G71" s="129" t="s">
        <v>152</v>
      </c>
      <c r="H71" s="36" t="s">
        <v>153</v>
      </c>
      <c r="I71" s="36"/>
      <c r="J71" s="60" t="s">
        <v>154</v>
      </c>
      <c r="K71" s="60" t="s">
        <v>155</v>
      </c>
    </row>
    <row r="72" outlineLevel="1">
      <c r="A72" s="30"/>
      <c r="B72" s="59" t="str">
        <f t="shared" si="7"/>
        <v>Zero Day</v>
      </c>
      <c r="C72" s="32" t="s">
        <v>10</v>
      </c>
      <c r="D72" s="33">
        <v>2.0</v>
      </c>
      <c r="E72" s="33"/>
      <c r="F72" s="81" t="s">
        <v>51</v>
      </c>
      <c r="G72" s="36"/>
      <c r="H72" s="60" t="s">
        <v>156</v>
      </c>
      <c r="I72" s="36"/>
      <c r="J72" s="36" t="s">
        <v>157</v>
      </c>
      <c r="K72" s="60" t="str">
        <f>CONCATENATE(J72," by ",H72)</f>
        <v>Zero Day by David Baldacci</v>
      </c>
    </row>
    <row r="73" outlineLevel="1">
      <c r="A73" s="112"/>
      <c r="B73" s="113" t="s">
        <v>158</v>
      </c>
      <c r="C73" s="32" t="s">
        <v>10</v>
      </c>
      <c r="D73" s="33">
        <v>2.0</v>
      </c>
      <c r="E73" s="33"/>
      <c r="F73" s="81" t="s">
        <v>51</v>
      </c>
      <c r="G73" s="36"/>
      <c r="H73" s="36"/>
      <c r="I73" s="36"/>
      <c r="J73" s="36"/>
      <c r="K73" s="36"/>
    </row>
    <row r="74" outlineLevel="1">
      <c r="A74" s="112"/>
      <c r="B74" s="113" t="s">
        <v>159</v>
      </c>
      <c r="C74" s="32" t="s">
        <v>10</v>
      </c>
      <c r="D74" s="33">
        <v>2.0</v>
      </c>
      <c r="E74" s="33"/>
      <c r="F74" s="81" t="s">
        <v>51</v>
      </c>
      <c r="G74" s="36"/>
      <c r="H74" s="36"/>
      <c r="I74" s="36"/>
      <c r="J74" s="36"/>
      <c r="K74" s="36"/>
    </row>
    <row r="75" outlineLevel="1">
      <c r="A75" s="112"/>
      <c r="B75" s="113" t="s">
        <v>160</v>
      </c>
      <c r="C75" s="32" t="s">
        <v>10</v>
      </c>
      <c r="D75" s="33">
        <v>2.0</v>
      </c>
      <c r="E75" s="33"/>
      <c r="F75" s="81" t="s">
        <v>51</v>
      </c>
      <c r="G75" s="36"/>
      <c r="H75" s="36"/>
      <c r="I75" s="36"/>
      <c r="J75" s="36"/>
      <c r="K75" s="36"/>
    </row>
    <row r="76" outlineLevel="1">
      <c r="A76" s="121"/>
      <c r="B76" s="122" t="s">
        <v>161</v>
      </c>
      <c r="C76" s="32" t="s">
        <v>10</v>
      </c>
      <c r="D76" s="33">
        <v>2.0</v>
      </c>
      <c r="E76" s="33"/>
      <c r="F76" s="81" t="s">
        <v>51</v>
      </c>
      <c r="G76" s="36"/>
      <c r="H76" s="36"/>
      <c r="I76" s="9" t="s">
        <v>83</v>
      </c>
      <c r="J76" s="36"/>
      <c r="K76" s="36"/>
    </row>
    <row r="77" outlineLevel="1">
      <c r="A77" s="112"/>
      <c r="B77" s="113" t="s">
        <v>162</v>
      </c>
      <c r="C77" s="32" t="s">
        <v>10</v>
      </c>
      <c r="D77" s="33">
        <v>2.0</v>
      </c>
      <c r="E77" s="33"/>
      <c r="F77" s="81" t="s">
        <v>51</v>
      </c>
      <c r="G77" s="36"/>
      <c r="H77" s="36"/>
      <c r="I77" s="36"/>
      <c r="J77" s="36"/>
      <c r="K77" s="36"/>
    </row>
    <row r="78" outlineLevel="1">
      <c r="A78" s="112"/>
      <c r="B78" s="113" t="s">
        <v>163</v>
      </c>
      <c r="C78" s="32" t="s">
        <v>10</v>
      </c>
      <c r="D78" s="33">
        <v>2.0</v>
      </c>
      <c r="E78" s="33"/>
      <c r="F78" s="81" t="s">
        <v>51</v>
      </c>
      <c r="G78" s="36"/>
      <c r="H78" s="36"/>
      <c r="I78" s="36"/>
      <c r="J78" s="36"/>
      <c r="K78" s="36"/>
    </row>
    <row r="79" outlineLevel="1">
      <c r="A79" s="121"/>
      <c r="B79" s="122" t="s">
        <v>164</v>
      </c>
      <c r="C79" s="32" t="s">
        <v>10</v>
      </c>
      <c r="D79" s="33">
        <v>2.0</v>
      </c>
      <c r="E79" s="33"/>
      <c r="F79" s="81" t="s">
        <v>51</v>
      </c>
      <c r="G79" s="130"/>
      <c r="H79" s="36"/>
      <c r="I79" s="9" t="s">
        <v>83</v>
      </c>
      <c r="J79" s="36"/>
      <c r="K79" s="36"/>
    </row>
    <row r="80" outlineLevel="1">
      <c r="A80" s="121"/>
      <c r="B80" s="122" t="s">
        <v>165</v>
      </c>
      <c r="C80" s="32" t="s">
        <v>10</v>
      </c>
      <c r="D80" s="33">
        <v>2.0</v>
      </c>
      <c r="E80" s="33"/>
      <c r="F80" s="81" t="s">
        <v>51</v>
      </c>
      <c r="G80" s="36"/>
      <c r="H80" s="36"/>
      <c r="I80" s="9" t="s">
        <v>83</v>
      </c>
      <c r="J80" s="36"/>
      <c r="K80" s="36"/>
    </row>
    <row r="81" outlineLevel="1">
      <c r="A81" s="30"/>
      <c r="B81" s="59" t="str">
        <f>hyperlink("https://www.amazon.com/s?k="&amp;ENCODEURL(K81),J81)</f>
        <v>The Will of the Many</v>
      </c>
      <c r="C81" s="32" t="s">
        <v>10</v>
      </c>
      <c r="D81" s="116">
        <v>2.0</v>
      </c>
      <c r="E81" s="116"/>
      <c r="F81" s="81" t="s">
        <v>51</v>
      </c>
      <c r="G81" s="34" t="s">
        <v>166</v>
      </c>
      <c r="H81" s="35" t="s">
        <v>167</v>
      </c>
      <c r="I81" s="36"/>
      <c r="J81" s="34" t="s">
        <v>162</v>
      </c>
      <c r="K81" s="60" t="str">
        <f>CONCATENATE(J81," by ",H81)</f>
        <v>The Will of the Many by James Islington</v>
      </c>
    </row>
    <row r="82" outlineLevel="1">
      <c r="A82" s="121"/>
      <c r="B82" s="122" t="s">
        <v>168</v>
      </c>
      <c r="C82" s="32" t="s">
        <v>10</v>
      </c>
      <c r="D82" s="33">
        <v>2.0</v>
      </c>
      <c r="E82" s="33"/>
      <c r="F82" s="81" t="s">
        <v>51</v>
      </c>
      <c r="G82" s="36"/>
      <c r="H82" s="36"/>
      <c r="I82" s="9" t="s">
        <v>83</v>
      </c>
      <c r="J82" s="36"/>
      <c r="K82" s="36"/>
    </row>
    <row r="83" outlineLevel="1">
      <c r="A83" s="121"/>
      <c r="B83" s="122" t="s">
        <v>169</v>
      </c>
      <c r="C83" s="32" t="s">
        <v>10</v>
      </c>
      <c r="D83" s="33">
        <v>2.0</v>
      </c>
      <c r="E83" s="33"/>
      <c r="F83" s="81" t="s">
        <v>51</v>
      </c>
      <c r="G83" s="36"/>
      <c r="H83" s="36"/>
      <c r="I83" s="9" t="s">
        <v>83</v>
      </c>
      <c r="J83" s="36"/>
      <c r="K83" s="36"/>
    </row>
    <row r="84" outlineLevel="1">
      <c r="A84" s="121"/>
      <c r="B84" s="122" t="s">
        <v>170</v>
      </c>
      <c r="C84" s="32" t="s">
        <v>10</v>
      </c>
      <c r="D84" s="33">
        <v>2.0</v>
      </c>
      <c r="E84" s="33"/>
      <c r="F84" s="81" t="s">
        <v>51</v>
      </c>
      <c r="G84" s="36"/>
      <c r="H84" s="36"/>
      <c r="I84" s="9" t="s">
        <v>83</v>
      </c>
      <c r="J84" s="36"/>
      <c r="K84" s="36"/>
    </row>
    <row r="85" outlineLevel="1">
      <c r="A85" s="112"/>
      <c r="B85" s="113" t="s">
        <v>171</v>
      </c>
      <c r="C85" s="32" t="s">
        <v>10</v>
      </c>
      <c r="D85" s="33">
        <v>2.0</v>
      </c>
      <c r="E85" s="33"/>
      <c r="F85" s="81" t="s">
        <v>51</v>
      </c>
      <c r="G85" s="36"/>
      <c r="H85" s="36"/>
      <c r="I85" s="9" t="s">
        <v>83</v>
      </c>
      <c r="J85" s="36"/>
      <c r="K85" s="36"/>
    </row>
    <row r="86" outlineLevel="1">
      <c r="A86" s="112"/>
      <c r="B86" s="113" t="s">
        <v>172</v>
      </c>
      <c r="C86" s="32" t="s">
        <v>10</v>
      </c>
      <c r="D86" s="33">
        <v>2.0</v>
      </c>
      <c r="E86" s="33"/>
      <c r="F86" s="81" t="s">
        <v>51</v>
      </c>
      <c r="G86" s="36"/>
      <c r="H86" s="36"/>
      <c r="I86" s="9" t="s">
        <v>83</v>
      </c>
      <c r="J86" s="36"/>
      <c r="K86" s="36"/>
    </row>
    <row r="87" outlineLevel="1">
      <c r="A87" s="112"/>
      <c r="B87" s="113" t="s">
        <v>173</v>
      </c>
      <c r="C87" s="32" t="s">
        <v>10</v>
      </c>
      <c r="D87" s="33">
        <v>2.0</v>
      </c>
      <c r="E87" s="33"/>
      <c r="F87" s="81" t="s">
        <v>51</v>
      </c>
      <c r="G87" s="36"/>
      <c r="H87" s="36"/>
      <c r="I87" s="9" t="s">
        <v>83</v>
      </c>
      <c r="J87" s="36"/>
      <c r="K87" s="36"/>
    </row>
    <row r="88" outlineLevel="1">
      <c r="A88" s="121"/>
      <c r="B88" s="122" t="s">
        <v>174</v>
      </c>
      <c r="C88" s="32" t="s">
        <v>10</v>
      </c>
      <c r="D88" s="33">
        <v>2.0</v>
      </c>
      <c r="E88" s="33"/>
      <c r="F88" s="81" t="s">
        <v>51</v>
      </c>
      <c r="G88" s="36"/>
      <c r="H88" s="36"/>
      <c r="I88" s="32" t="s">
        <v>101</v>
      </c>
      <c r="J88" s="36"/>
      <c r="K88" s="36"/>
    </row>
    <row r="89" outlineLevel="1">
      <c r="A89" s="121"/>
      <c r="B89" s="122" t="s">
        <v>175</v>
      </c>
      <c r="C89" s="32" t="s">
        <v>10</v>
      </c>
      <c r="D89" s="33">
        <v>2.0</v>
      </c>
      <c r="E89" s="33"/>
      <c r="F89" s="81" t="s">
        <v>51</v>
      </c>
      <c r="G89" s="36"/>
      <c r="H89" s="36"/>
      <c r="I89" s="32" t="s">
        <v>176</v>
      </c>
      <c r="J89" s="36"/>
      <c r="K89" s="36"/>
    </row>
    <row r="90" outlineLevel="1">
      <c r="A90" s="121"/>
      <c r="B90" s="122" t="s">
        <v>177</v>
      </c>
      <c r="C90" s="32" t="s">
        <v>10</v>
      </c>
      <c r="D90" s="33">
        <v>2.0</v>
      </c>
      <c r="E90" s="33"/>
      <c r="F90" s="81" t="s">
        <v>51</v>
      </c>
      <c r="G90" s="36"/>
      <c r="H90" s="36"/>
      <c r="I90" s="32" t="s">
        <v>176</v>
      </c>
      <c r="J90" s="36"/>
      <c r="K90" s="36"/>
    </row>
    <row r="91" outlineLevel="1">
      <c r="A91" s="121"/>
      <c r="B91" s="122" t="s">
        <v>178</v>
      </c>
      <c r="C91" s="32" t="s">
        <v>10</v>
      </c>
      <c r="D91" s="33">
        <v>2.0</v>
      </c>
      <c r="E91" s="33"/>
      <c r="F91" s="81" t="s">
        <v>51</v>
      </c>
      <c r="G91" s="36"/>
      <c r="H91" s="36"/>
      <c r="I91" s="32" t="s">
        <v>176</v>
      </c>
      <c r="J91" s="36"/>
      <c r="K91" s="36"/>
    </row>
    <row r="92" outlineLevel="1">
      <c r="A92" s="112"/>
      <c r="B92" s="113" t="s">
        <v>179</v>
      </c>
      <c r="C92" s="32" t="s">
        <v>10</v>
      </c>
      <c r="D92" s="33">
        <v>2.0</v>
      </c>
      <c r="E92" s="33"/>
      <c r="F92" s="81" t="s">
        <v>51</v>
      </c>
      <c r="G92" s="36"/>
      <c r="H92" s="36"/>
      <c r="I92" s="32" t="s">
        <v>101</v>
      </c>
      <c r="J92" s="36"/>
      <c r="K92" s="36"/>
    </row>
    <row r="93" outlineLevel="1">
      <c r="A93" s="112"/>
      <c r="B93" s="113" t="s">
        <v>180</v>
      </c>
      <c r="C93" s="32" t="s">
        <v>10</v>
      </c>
      <c r="D93" s="33">
        <v>2.0</v>
      </c>
      <c r="E93" s="33"/>
      <c r="F93" s="81" t="s">
        <v>51</v>
      </c>
      <c r="G93" s="36"/>
      <c r="H93" s="36"/>
      <c r="I93" s="32" t="s">
        <v>101</v>
      </c>
      <c r="J93" s="36"/>
      <c r="K93" s="36"/>
    </row>
    <row r="94" outlineLevel="1">
      <c r="A94" s="112"/>
      <c r="B94" s="113" t="s">
        <v>181</v>
      </c>
      <c r="C94" s="32" t="s">
        <v>10</v>
      </c>
      <c r="D94" s="33">
        <v>2.0</v>
      </c>
      <c r="E94" s="33"/>
      <c r="F94" s="81" t="s">
        <v>51</v>
      </c>
      <c r="G94" s="36"/>
      <c r="H94" s="36"/>
      <c r="I94" s="32" t="s">
        <v>101</v>
      </c>
      <c r="J94" s="36"/>
      <c r="K94" s="36"/>
    </row>
    <row r="95" outlineLevel="1">
      <c r="A95" s="112"/>
      <c r="B95" s="113" t="s">
        <v>175</v>
      </c>
      <c r="C95" s="32" t="s">
        <v>10</v>
      </c>
      <c r="D95" s="33">
        <v>2.0</v>
      </c>
      <c r="E95" s="33"/>
      <c r="F95" s="81" t="s">
        <v>51</v>
      </c>
      <c r="G95" s="36"/>
      <c r="H95" s="36"/>
      <c r="I95" s="32" t="s">
        <v>101</v>
      </c>
      <c r="J95" s="36"/>
      <c r="K95" s="36"/>
    </row>
    <row r="96" outlineLevel="1">
      <c r="A96" s="112"/>
      <c r="B96" s="113" t="s">
        <v>171</v>
      </c>
      <c r="C96" s="32" t="s">
        <v>10</v>
      </c>
      <c r="D96" s="33">
        <v>2.0</v>
      </c>
      <c r="E96" s="33"/>
      <c r="F96" s="81" t="s">
        <v>51</v>
      </c>
      <c r="G96" s="36"/>
      <c r="H96" s="36"/>
      <c r="I96" s="32" t="s">
        <v>101</v>
      </c>
      <c r="J96" s="36"/>
      <c r="K96" s="36"/>
    </row>
    <row r="97" outlineLevel="1">
      <c r="A97" s="112"/>
      <c r="B97" s="113" t="s">
        <v>172</v>
      </c>
      <c r="C97" s="32" t="s">
        <v>10</v>
      </c>
      <c r="D97" s="33">
        <v>2.0</v>
      </c>
      <c r="E97" s="33"/>
      <c r="F97" s="81" t="s">
        <v>51</v>
      </c>
      <c r="G97" s="36"/>
      <c r="H97" s="36"/>
      <c r="I97" s="32" t="s">
        <v>101</v>
      </c>
      <c r="J97" s="36"/>
      <c r="K97" s="36"/>
    </row>
    <row r="98" outlineLevel="1">
      <c r="A98" s="112"/>
      <c r="B98" s="113" t="s">
        <v>179</v>
      </c>
      <c r="C98" s="32" t="s">
        <v>10</v>
      </c>
      <c r="D98" s="33">
        <v>2.0</v>
      </c>
      <c r="E98" s="33"/>
      <c r="F98" s="81" t="s">
        <v>51</v>
      </c>
      <c r="G98" s="34"/>
      <c r="H98" s="36"/>
      <c r="I98" s="32" t="s">
        <v>101</v>
      </c>
      <c r="J98" s="36"/>
      <c r="K98" s="36"/>
    </row>
    <row r="99" outlineLevel="1">
      <c r="A99" s="7"/>
      <c r="B99" s="8" t="str">
        <f t="shared" ref="B99:B105" si="9">hyperlink("https://www.amazon.com/s?k="&amp;ENCODEURL(K99),J99)</f>
        <v>The Good Liar</v>
      </c>
      <c r="C99" s="32" t="s">
        <v>10</v>
      </c>
      <c r="D99" s="33">
        <v>2.0</v>
      </c>
      <c r="E99" s="33"/>
      <c r="F99" s="81" t="s">
        <v>51</v>
      </c>
      <c r="G99" s="123" t="s">
        <v>182</v>
      </c>
      <c r="H99" s="118" t="s">
        <v>183</v>
      </c>
      <c r="I99" s="119"/>
      <c r="J99" s="42" t="s">
        <v>184</v>
      </c>
      <c r="K99" s="42" t="s">
        <v>185</v>
      </c>
    </row>
    <row r="100" outlineLevel="1">
      <c r="A100" s="30"/>
      <c r="B100" s="59" t="str">
        <f t="shared" si="9"/>
        <v>Venetian Vespers</v>
      </c>
      <c r="C100" s="32" t="s">
        <v>10</v>
      </c>
      <c r="D100" s="33">
        <v>2.0</v>
      </c>
      <c r="E100" s="33"/>
      <c r="F100" s="81" t="s">
        <v>51</v>
      </c>
      <c r="G100" s="123" t="s">
        <v>186</v>
      </c>
      <c r="H100" s="34" t="s">
        <v>187</v>
      </c>
      <c r="I100" s="32"/>
      <c r="J100" s="34" t="s">
        <v>188</v>
      </c>
      <c r="K100" s="35" t="s">
        <v>189</v>
      </c>
    </row>
    <row r="101" outlineLevel="1">
      <c r="A101" s="30"/>
      <c r="B101" s="59" t="str">
        <f t="shared" si="9"/>
        <v>These Summer Storms</v>
      </c>
      <c r="C101" s="32" t="s">
        <v>10</v>
      </c>
      <c r="D101" s="116">
        <v>2.0</v>
      </c>
      <c r="E101" s="116"/>
      <c r="F101" s="81" t="s">
        <v>51</v>
      </c>
      <c r="G101" s="123" t="s">
        <v>190</v>
      </c>
      <c r="H101" s="130" t="s">
        <v>191</v>
      </c>
      <c r="I101" s="32"/>
      <c r="J101" s="34" t="s">
        <v>192</v>
      </c>
      <c r="K101" s="60" t="str">
        <f t="shared" ref="K101:K105" si="10">CONCATENATE(J101," by ",H101)</f>
        <v>These Summer Storms by Sarah MacLean</v>
      </c>
    </row>
    <row r="102" outlineLevel="1">
      <c r="A102" s="30"/>
      <c r="B102" s="59" t="str">
        <f t="shared" si="9"/>
        <v>Shadow Ticket</v>
      </c>
      <c r="C102" s="32" t="s">
        <v>10</v>
      </c>
      <c r="D102" s="116">
        <v>2.0</v>
      </c>
      <c r="E102" s="116"/>
      <c r="F102" s="81" t="s">
        <v>51</v>
      </c>
      <c r="G102" s="123" t="s">
        <v>193</v>
      </c>
      <c r="H102" s="130" t="s">
        <v>194</v>
      </c>
      <c r="I102" s="32"/>
      <c r="J102" s="34" t="s">
        <v>195</v>
      </c>
      <c r="K102" s="60" t="str">
        <f t="shared" si="10"/>
        <v>Shadow Ticket by Thomas Pynchon</v>
      </c>
    </row>
    <row r="103" outlineLevel="1">
      <c r="A103" s="30"/>
      <c r="B103" s="59" t="str">
        <f t="shared" si="9"/>
        <v>On the Calculation of Volume</v>
      </c>
      <c r="C103" s="32" t="s">
        <v>10</v>
      </c>
      <c r="D103" s="116">
        <v>2.0</v>
      </c>
      <c r="E103" s="116"/>
      <c r="F103" s="81" t="s">
        <v>51</v>
      </c>
      <c r="G103" s="131" t="s">
        <v>196</v>
      </c>
      <c r="H103" s="130" t="s">
        <v>197</v>
      </c>
      <c r="I103" s="32"/>
      <c r="J103" s="34" t="s">
        <v>198</v>
      </c>
      <c r="K103" s="60" t="str">
        <f t="shared" si="10"/>
        <v>On the Calculation of Volume by Solvej Balle</v>
      </c>
    </row>
    <row r="104" outlineLevel="1">
      <c r="A104" s="30"/>
      <c r="B104" s="59" t="str">
        <f t="shared" si="9"/>
        <v>Hollow Spaces</v>
      </c>
      <c r="C104" s="32" t="s">
        <v>10</v>
      </c>
      <c r="D104" s="116">
        <v>2.0</v>
      </c>
      <c r="E104" s="116"/>
      <c r="F104" s="81" t="s">
        <v>51</v>
      </c>
      <c r="G104" s="123" t="s">
        <v>199</v>
      </c>
      <c r="H104" s="130" t="s">
        <v>200</v>
      </c>
      <c r="I104" s="32"/>
      <c r="J104" s="34" t="s">
        <v>201</v>
      </c>
      <c r="K104" s="60" t="str">
        <f t="shared" si="10"/>
        <v>Hollow Spaces by Victor Suthammanont</v>
      </c>
    </row>
    <row r="105" outlineLevel="1">
      <c r="A105" s="30"/>
      <c r="B105" s="59" t="str">
        <f t="shared" si="9"/>
        <v>The Good Liar</v>
      </c>
      <c r="C105" s="32" t="s">
        <v>10</v>
      </c>
      <c r="D105" s="116">
        <v>2.0</v>
      </c>
      <c r="E105" s="116"/>
      <c r="F105" s="81" t="s">
        <v>51</v>
      </c>
      <c r="G105" s="123" t="s">
        <v>202</v>
      </c>
      <c r="H105" s="35" t="s">
        <v>183</v>
      </c>
      <c r="I105" s="36"/>
      <c r="J105" s="124" t="s">
        <v>184</v>
      </c>
      <c r="K105" s="60" t="str">
        <f t="shared" si="10"/>
        <v>The Good Liar by Denise Mina</v>
      </c>
    </row>
    <row r="106">
      <c r="A106" s="19" t="s">
        <v>203</v>
      </c>
      <c r="B106" s="132"/>
      <c r="C106" s="21"/>
      <c r="D106" s="22"/>
      <c r="E106" s="22"/>
      <c r="F106" s="22"/>
      <c r="G106" s="23"/>
      <c r="H106" s="24"/>
      <c r="I106" s="23"/>
      <c r="J106" s="23"/>
      <c r="K106" s="24"/>
    </row>
    <row r="107" outlineLevel="1">
      <c r="A107" s="25" t="s">
        <v>204</v>
      </c>
      <c r="B107" s="26"/>
      <c r="C107" s="27"/>
      <c r="D107" s="28"/>
      <c r="E107" s="28"/>
      <c r="F107" s="28"/>
      <c r="G107" s="27"/>
      <c r="H107" s="29"/>
      <c r="I107" s="27"/>
      <c r="J107" s="27"/>
      <c r="K107" s="29"/>
    </row>
    <row r="108" outlineLevel="2">
      <c r="A108" s="69"/>
      <c r="B108" s="133" t="s">
        <v>205</v>
      </c>
      <c r="C108" s="71" t="s">
        <v>10</v>
      </c>
      <c r="E108" s="134">
        <v>45658.0</v>
      </c>
      <c r="F108" s="135" t="s">
        <v>34</v>
      </c>
      <c r="G108" s="74"/>
      <c r="H108" s="74"/>
      <c r="I108" s="75"/>
      <c r="J108" s="74"/>
      <c r="K108" s="74"/>
    </row>
    <row r="109" outlineLevel="2">
      <c r="A109" s="69"/>
      <c r="B109" s="133" t="s">
        <v>206</v>
      </c>
      <c r="C109" s="71" t="s">
        <v>10</v>
      </c>
      <c r="E109" s="134">
        <v>45666.0</v>
      </c>
      <c r="F109" s="135" t="s">
        <v>34</v>
      </c>
      <c r="G109" s="74"/>
      <c r="H109" s="74"/>
      <c r="I109" s="75"/>
      <c r="J109" s="74"/>
      <c r="K109" s="74"/>
    </row>
    <row r="110" outlineLevel="2">
      <c r="A110" s="69"/>
      <c r="B110" s="133" t="s">
        <v>207</v>
      </c>
      <c r="C110" s="71" t="s">
        <v>10</v>
      </c>
      <c r="E110" s="134">
        <v>45668.0</v>
      </c>
      <c r="F110" s="135" t="s">
        <v>34</v>
      </c>
      <c r="G110" s="74"/>
      <c r="H110" s="74"/>
      <c r="I110" s="75"/>
      <c r="J110" s="74"/>
      <c r="K110" s="74"/>
    </row>
    <row r="111" outlineLevel="2">
      <c r="A111" s="69"/>
      <c r="B111" s="133" t="s">
        <v>208</v>
      </c>
      <c r="C111" s="71" t="s">
        <v>10</v>
      </c>
      <c r="E111" s="134">
        <v>45672.0</v>
      </c>
      <c r="F111" s="135" t="s">
        <v>34</v>
      </c>
      <c r="G111" s="74"/>
      <c r="H111" s="74"/>
      <c r="I111" s="75"/>
      <c r="J111" s="74"/>
      <c r="K111" s="74"/>
    </row>
    <row r="112" outlineLevel="2">
      <c r="A112" s="69"/>
      <c r="B112" s="133" t="s">
        <v>209</v>
      </c>
      <c r="C112" s="71" t="s">
        <v>10</v>
      </c>
      <c r="E112" s="134">
        <v>45675.0</v>
      </c>
      <c r="F112" s="135" t="s">
        <v>34</v>
      </c>
      <c r="G112" s="74"/>
      <c r="H112" s="74"/>
      <c r="I112" s="75"/>
      <c r="J112" s="74"/>
      <c r="K112" s="74"/>
    </row>
    <row r="113" outlineLevel="2">
      <c r="A113" s="136"/>
      <c r="B113" s="137" t="s">
        <v>210</v>
      </c>
      <c r="C113" s="71" t="s">
        <v>22</v>
      </c>
      <c r="E113" s="134">
        <v>45675.0</v>
      </c>
      <c r="F113" s="135" t="s">
        <v>34</v>
      </c>
      <c r="G113" s="74"/>
      <c r="H113" s="74"/>
      <c r="I113" s="75"/>
      <c r="J113" s="74"/>
      <c r="K113" s="74"/>
    </row>
    <row r="114" outlineLevel="2">
      <c r="A114" s="69"/>
      <c r="B114" s="133" t="s">
        <v>211</v>
      </c>
      <c r="C114" s="71" t="s">
        <v>10</v>
      </c>
      <c r="E114" s="134">
        <v>45680.0</v>
      </c>
      <c r="F114" s="135" t="s">
        <v>34</v>
      </c>
      <c r="G114" s="74"/>
      <c r="H114" s="74"/>
      <c r="I114" s="75"/>
      <c r="J114" s="74"/>
      <c r="K114" s="74"/>
    </row>
    <row r="115" outlineLevel="2">
      <c r="A115" s="69"/>
      <c r="B115" s="133" t="s">
        <v>212</v>
      </c>
      <c r="C115" s="71" t="s">
        <v>10</v>
      </c>
      <c r="E115" s="134">
        <v>45691.0</v>
      </c>
      <c r="F115" s="135" t="s">
        <v>34</v>
      </c>
      <c r="G115" s="74"/>
      <c r="H115" s="74"/>
      <c r="I115" s="75"/>
      <c r="J115" s="74"/>
      <c r="K115" s="74"/>
    </row>
    <row r="116" outlineLevel="2">
      <c r="A116" s="69"/>
      <c r="B116" s="133" t="s">
        <v>213</v>
      </c>
      <c r="C116" s="71" t="s">
        <v>10</v>
      </c>
      <c r="E116" s="134">
        <v>45693.0</v>
      </c>
      <c r="F116" s="135" t="s">
        <v>34</v>
      </c>
      <c r="G116" s="74"/>
      <c r="H116" s="74"/>
      <c r="I116" s="75"/>
      <c r="J116" s="74"/>
      <c r="K116" s="74"/>
    </row>
    <row r="117" outlineLevel="2">
      <c r="A117" s="69"/>
      <c r="B117" s="133" t="s">
        <v>214</v>
      </c>
      <c r="C117" s="71" t="s">
        <v>10</v>
      </c>
      <c r="E117" s="134">
        <v>45708.0</v>
      </c>
      <c r="F117" s="135" t="s">
        <v>34</v>
      </c>
      <c r="G117" s="74"/>
      <c r="H117" s="74"/>
      <c r="I117" s="75"/>
      <c r="J117" s="74"/>
      <c r="K117" s="74"/>
    </row>
    <row r="118" outlineLevel="2">
      <c r="A118" s="69"/>
      <c r="B118" s="133" t="s">
        <v>215</v>
      </c>
      <c r="C118" s="71" t="s">
        <v>10</v>
      </c>
      <c r="E118" s="134">
        <v>45728.0</v>
      </c>
      <c r="F118" s="135" t="s">
        <v>34</v>
      </c>
      <c r="G118" s="74"/>
      <c r="H118" s="74"/>
      <c r="I118" s="75"/>
      <c r="J118" s="74"/>
      <c r="K118" s="74"/>
    </row>
    <row r="119" outlineLevel="2">
      <c r="A119" s="69"/>
      <c r="B119" s="133" t="s">
        <v>216</v>
      </c>
      <c r="C119" s="71" t="s">
        <v>10</v>
      </c>
      <c r="E119" s="134">
        <v>45757.0</v>
      </c>
      <c r="F119" s="135" t="s">
        <v>34</v>
      </c>
      <c r="G119" s="74"/>
      <c r="H119" s="74"/>
      <c r="I119" s="75"/>
      <c r="J119" s="74"/>
      <c r="K119" s="74"/>
    </row>
    <row r="120" outlineLevel="2">
      <c r="A120" s="69"/>
      <c r="B120" s="133" t="s">
        <v>217</v>
      </c>
      <c r="C120" s="71" t="s">
        <v>10</v>
      </c>
      <c r="E120" s="134">
        <v>45773.0</v>
      </c>
      <c r="F120" s="135" t="s">
        <v>34</v>
      </c>
      <c r="G120" s="74"/>
      <c r="H120" s="74"/>
      <c r="I120" s="75"/>
      <c r="J120" s="74"/>
      <c r="K120" s="74"/>
    </row>
    <row r="121" outlineLevel="2">
      <c r="A121" s="69"/>
      <c r="B121" s="133" t="s">
        <v>218</v>
      </c>
      <c r="C121" s="71" t="s">
        <v>10</v>
      </c>
      <c r="E121" s="134">
        <v>45799.0</v>
      </c>
      <c r="F121" s="135" t="s">
        <v>34</v>
      </c>
      <c r="G121" s="74"/>
      <c r="H121" s="74"/>
      <c r="I121" s="75"/>
      <c r="J121" s="74"/>
      <c r="K121" s="74"/>
    </row>
    <row r="122" outlineLevel="2">
      <c r="A122" s="136"/>
      <c r="B122" s="137" t="s">
        <v>219</v>
      </c>
      <c r="C122" s="71" t="s">
        <v>22</v>
      </c>
      <c r="E122" s="134">
        <v>45838.0</v>
      </c>
      <c r="F122" s="135" t="s">
        <v>34</v>
      </c>
      <c r="G122" s="74"/>
      <c r="H122" s="74"/>
      <c r="I122" s="75"/>
      <c r="J122" s="74"/>
      <c r="K122" s="74"/>
    </row>
    <row r="123" outlineLevel="2">
      <c r="A123" s="69"/>
      <c r="B123" s="133" t="s">
        <v>220</v>
      </c>
      <c r="C123" s="71" t="s">
        <v>10</v>
      </c>
      <c r="E123" s="134">
        <v>45853.0</v>
      </c>
      <c r="F123" s="135" t="s">
        <v>34</v>
      </c>
      <c r="G123" s="74"/>
      <c r="H123" s="74"/>
      <c r="I123" s="75"/>
      <c r="J123" s="74"/>
      <c r="K123" s="74"/>
    </row>
    <row r="124" outlineLevel="2">
      <c r="A124" s="136"/>
      <c r="B124" s="137" t="s">
        <v>221</v>
      </c>
      <c r="C124" s="71" t="s">
        <v>22</v>
      </c>
      <c r="E124" s="134">
        <v>45853.0</v>
      </c>
      <c r="F124" s="135" t="s">
        <v>34</v>
      </c>
      <c r="G124" s="74"/>
      <c r="H124" s="74"/>
      <c r="I124" s="75"/>
      <c r="J124" s="74"/>
      <c r="K124" s="74"/>
    </row>
    <row r="125" outlineLevel="2">
      <c r="A125" s="136"/>
      <c r="B125" s="137" t="s">
        <v>222</v>
      </c>
      <c r="C125" s="71" t="s">
        <v>22</v>
      </c>
      <c r="E125" s="134">
        <v>45853.0</v>
      </c>
      <c r="F125" s="135" t="s">
        <v>34</v>
      </c>
      <c r="G125" s="74"/>
      <c r="H125" s="74"/>
      <c r="I125" s="75"/>
      <c r="J125" s="74"/>
      <c r="K125" s="74"/>
    </row>
    <row r="126" outlineLevel="2">
      <c r="A126" s="138"/>
      <c r="B126" s="139" t="s">
        <v>223</v>
      </c>
      <c r="C126" s="71" t="s">
        <v>10</v>
      </c>
      <c r="E126" s="134">
        <v>45889.0</v>
      </c>
      <c r="F126" s="135" t="s">
        <v>34</v>
      </c>
      <c r="G126" s="74"/>
      <c r="H126" s="74"/>
      <c r="I126" s="75"/>
      <c r="J126" s="74"/>
      <c r="K126" s="74"/>
    </row>
    <row r="127" outlineLevel="2">
      <c r="A127" s="140"/>
      <c r="B127" s="141" t="s">
        <v>224</v>
      </c>
      <c r="C127" s="71" t="s">
        <v>10</v>
      </c>
      <c r="E127" s="134">
        <v>45899.0</v>
      </c>
      <c r="F127" s="135" t="s">
        <v>34</v>
      </c>
      <c r="G127" s="74"/>
      <c r="H127" s="74"/>
      <c r="I127" s="75"/>
      <c r="J127" s="74"/>
      <c r="K127" s="74"/>
    </row>
    <row r="128" outlineLevel="2">
      <c r="A128" s="69"/>
      <c r="B128" s="133" t="s">
        <v>225</v>
      </c>
      <c r="C128" s="71" t="s">
        <v>10</v>
      </c>
      <c r="E128" s="134">
        <v>45910.0</v>
      </c>
      <c r="F128" s="135" t="s">
        <v>34</v>
      </c>
      <c r="G128" s="74"/>
      <c r="H128" s="74"/>
      <c r="I128" s="75"/>
      <c r="J128" s="74"/>
      <c r="K128" s="74"/>
    </row>
    <row r="129" outlineLevel="2">
      <c r="A129" s="69"/>
      <c r="B129" s="133" t="s">
        <v>226</v>
      </c>
      <c r="C129" s="71" t="s">
        <v>10</v>
      </c>
      <c r="E129" s="134">
        <v>45915.0</v>
      </c>
      <c r="F129" s="135" t="s">
        <v>34</v>
      </c>
      <c r="G129" s="74"/>
      <c r="H129" s="74"/>
      <c r="I129" s="75"/>
      <c r="J129" s="74"/>
      <c r="K129" s="74"/>
    </row>
    <row r="130" outlineLevel="2">
      <c r="A130" s="69"/>
      <c r="B130" s="133" t="s">
        <v>227</v>
      </c>
      <c r="C130" s="71" t="s">
        <v>10</v>
      </c>
      <c r="E130" s="134">
        <v>45920.0</v>
      </c>
      <c r="F130" s="135" t="s">
        <v>34</v>
      </c>
      <c r="G130" s="74"/>
      <c r="H130" s="74"/>
      <c r="I130" s="75"/>
      <c r="J130" s="74"/>
      <c r="K130" s="74"/>
    </row>
    <row r="131" outlineLevel="2">
      <c r="A131" s="69"/>
      <c r="B131" s="133" t="s">
        <v>228</v>
      </c>
      <c r="C131" s="71" t="s">
        <v>10</v>
      </c>
      <c r="E131" s="134">
        <v>45944.0</v>
      </c>
      <c r="F131" s="135" t="s">
        <v>34</v>
      </c>
      <c r="G131" s="74"/>
      <c r="H131" s="74"/>
      <c r="I131" s="75"/>
      <c r="J131" s="74"/>
      <c r="K131" s="74"/>
    </row>
    <row r="132" outlineLevel="2">
      <c r="A132" s="138"/>
      <c r="B132" s="139" t="s">
        <v>229</v>
      </c>
      <c r="C132" s="71" t="s">
        <v>10</v>
      </c>
      <c r="E132" s="134">
        <v>45976.0</v>
      </c>
      <c r="F132" s="135" t="s">
        <v>34</v>
      </c>
      <c r="G132" s="74"/>
      <c r="H132" s="74"/>
      <c r="I132" s="75"/>
      <c r="J132" s="74"/>
      <c r="K132" s="74"/>
    </row>
    <row r="133" outlineLevel="2">
      <c r="A133" s="69"/>
      <c r="B133" s="133" t="str">
        <f>hyperlink("https://tinyurl.com/23zhxtkw", "The Emperor of Gladness")</f>
        <v>The Emperor of Gladness</v>
      </c>
      <c r="C133" s="71" t="s">
        <v>10</v>
      </c>
      <c r="E133" s="72">
        <v>46008.0</v>
      </c>
      <c r="F133" s="135" t="s">
        <v>34</v>
      </c>
      <c r="G133" s="73" t="s">
        <v>230</v>
      </c>
      <c r="H133" s="74" t="str">
        <f t="shared" ref="H133:H134" si="11">TRIM(MID(G133, FIND(" by ", G133) + 4, LEN(G133)))</f>
        <v>Ocean Vuong</v>
      </c>
      <c r="I133" s="75"/>
      <c r="J133" s="74" t="str">
        <f t="shared" ref="J133:J134" si="12">TRIM(LEFT(G133, FIND(" by ", G133) - 1))</f>
        <v>The Emperor of Gladness</v>
      </c>
      <c r="K133" s="74" t="str">
        <f t="shared" ref="K133:K135" si="13">CONCATENATE(J133," by ",H133)</f>
        <v>The Emperor of Gladness by Ocean Vuong</v>
      </c>
    </row>
    <row r="134" outlineLevel="2">
      <c r="A134" s="69"/>
      <c r="B134" s="133" t="str">
        <f t="shared" ref="B134:B135" si="14">hyperlink("https://www.amazon.com/s?k="&amp;ENCODEURL(K134),J134)</f>
        <v>I See You've Called in Dead</v>
      </c>
      <c r="C134" s="71" t="s">
        <v>10</v>
      </c>
      <c r="E134" s="72">
        <v>46010.0</v>
      </c>
      <c r="F134" s="135" t="s">
        <v>34</v>
      </c>
      <c r="G134" s="73" t="s">
        <v>231</v>
      </c>
      <c r="H134" s="74" t="str">
        <f t="shared" si="11"/>
        <v>John Kenney</v>
      </c>
      <c r="I134" s="75"/>
      <c r="J134" s="74" t="str">
        <f t="shared" si="12"/>
        <v>I See You've Called in Dead</v>
      </c>
      <c r="K134" s="74" t="str">
        <f t="shared" si="13"/>
        <v>I See You've Called in Dead by John Kenney</v>
      </c>
    </row>
    <row r="135" outlineLevel="2">
      <c r="A135" s="69"/>
      <c r="B135" s="133" t="str">
        <f t="shared" si="14"/>
        <v>Anxious People: A Novel</v>
      </c>
      <c r="C135" s="71" t="s">
        <v>10</v>
      </c>
      <c r="E135" s="72">
        <v>46015.0</v>
      </c>
      <c r="F135" s="135" t="s">
        <v>34</v>
      </c>
      <c r="G135" s="73"/>
      <c r="H135" s="74" t="s">
        <v>136</v>
      </c>
      <c r="I135" s="75"/>
      <c r="J135" s="74" t="s">
        <v>232</v>
      </c>
      <c r="K135" s="74" t="str">
        <f t="shared" si="13"/>
        <v>Anxious People: A Novel by Fredrik Backman</v>
      </c>
    </row>
    <row r="136" outlineLevel="2">
      <c r="A136" s="69"/>
      <c r="B136" s="133" t="s">
        <v>233</v>
      </c>
      <c r="C136" s="71"/>
      <c r="E136" s="72">
        <v>46017.0</v>
      </c>
      <c r="F136" s="135" t="s">
        <v>34</v>
      </c>
      <c r="G136" s="73" t="s">
        <v>234</v>
      </c>
      <c r="H136" s="74" t="s">
        <v>40</v>
      </c>
      <c r="I136" s="75"/>
      <c r="J136" s="74" t="s">
        <v>233</v>
      </c>
      <c r="K136" s="74" t="s">
        <v>235</v>
      </c>
    </row>
    <row r="137" outlineLevel="2">
      <c r="A137" s="69"/>
      <c r="B137" s="133" t="str">
        <f>hyperlink("https://www.amazon.com/s?k="&amp;ENCODEURL(K137),J137)</f>
        <v>The Retirement Plan</v>
      </c>
      <c r="C137" s="71" t="s">
        <v>10</v>
      </c>
      <c r="E137" s="72">
        <v>46023.0</v>
      </c>
      <c r="F137" s="135" t="s">
        <v>34</v>
      </c>
      <c r="G137" s="142" t="s">
        <v>236</v>
      </c>
      <c r="H137" s="74" t="s">
        <v>237</v>
      </c>
      <c r="I137" s="75"/>
      <c r="J137" s="74" t="s">
        <v>238</v>
      </c>
      <c r="K137" s="74" t="str">
        <f>CONCATENATE(J137," by ",H137)</f>
        <v>The Retirement Plan by Sue Hincenbergs</v>
      </c>
    </row>
    <row r="138" outlineLevel="1">
      <c r="A138" s="25" t="s">
        <v>239</v>
      </c>
      <c r="B138" s="26"/>
      <c r="C138" s="27"/>
      <c r="D138" s="28"/>
      <c r="E138" s="28"/>
      <c r="F138" s="28"/>
      <c r="G138" s="27"/>
      <c r="H138" s="29"/>
      <c r="I138" s="27"/>
      <c r="J138" s="27"/>
      <c r="K138" s="29"/>
    </row>
    <row r="139" outlineLevel="2">
      <c r="A139" s="136"/>
      <c r="B139" s="137" t="s">
        <v>240</v>
      </c>
      <c r="C139" s="71" t="s">
        <v>22</v>
      </c>
      <c r="E139" s="134">
        <v>45301.0</v>
      </c>
      <c r="F139" s="135" t="s">
        <v>34</v>
      </c>
      <c r="G139" s="74"/>
      <c r="H139" s="74"/>
      <c r="I139" s="73"/>
      <c r="J139" s="74"/>
      <c r="K139" s="74"/>
    </row>
    <row r="140" outlineLevel="2">
      <c r="A140" s="69"/>
      <c r="B140" s="133" t="s">
        <v>241</v>
      </c>
      <c r="C140" s="71" t="s">
        <v>22</v>
      </c>
      <c r="E140" s="134">
        <f t="shared" ref="E140:E163" si="15">E139+10</f>
        <v>45311</v>
      </c>
      <c r="F140" s="135" t="s">
        <v>34</v>
      </c>
      <c r="G140" s="74"/>
      <c r="H140" s="74"/>
      <c r="I140" s="74"/>
      <c r="J140" s="74"/>
      <c r="K140" s="74"/>
    </row>
    <row r="141" outlineLevel="2">
      <c r="A141" s="69"/>
      <c r="B141" s="133" t="s">
        <v>242</v>
      </c>
      <c r="C141" s="71" t="s">
        <v>22</v>
      </c>
      <c r="E141" s="134">
        <f t="shared" si="15"/>
        <v>45321</v>
      </c>
      <c r="F141" s="135" t="s">
        <v>34</v>
      </c>
      <c r="G141" s="74"/>
      <c r="H141" s="74"/>
      <c r="I141" s="74"/>
      <c r="J141" s="74"/>
      <c r="K141" s="74"/>
    </row>
    <row r="142" outlineLevel="2">
      <c r="A142" s="69"/>
      <c r="B142" s="133" t="s">
        <v>205</v>
      </c>
      <c r="C142" s="71" t="s">
        <v>10</v>
      </c>
      <c r="E142" s="134">
        <f t="shared" si="15"/>
        <v>45331</v>
      </c>
      <c r="F142" s="135" t="s">
        <v>34</v>
      </c>
      <c r="G142" s="74"/>
      <c r="H142" s="74"/>
      <c r="I142" s="74"/>
      <c r="J142" s="74"/>
      <c r="K142" s="74"/>
    </row>
    <row r="143" outlineLevel="2">
      <c r="A143" s="69"/>
      <c r="B143" s="133" t="s">
        <v>243</v>
      </c>
      <c r="C143" s="71" t="s">
        <v>10</v>
      </c>
      <c r="E143" s="134">
        <f t="shared" si="15"/>
        <v>45341</v>
      </c>
      <c r="F143" s="135" t="s">
        <v>34</v>
      </c>
      <c r="G143" s="74"/>
      <c r="H143" s="74"/>
      <c r="I143" s="74"/>
      <c r="J143" s="74"/>
      <c r="K143" s="74"/>
    </row>
    <row r="144" outlineLevel="2">
      <c r="A144" s="69"/>
      <c r="B144" s="133" t="s">
        <v>244</v>
      </c>
      <c r="C144" s="71" t="s">
        <v>10</v>
      </c>
      <c r="E144" s="134">
        <f t="shared" si="15"/>
        <v>45351</v>
      </c>
      <c r="F144" s="135" t="s">
        <v>34</v>
      </c>
      <c r="G144" s="74"/>
      <c r="H144" s="74"/>
      <c r="I144" s="74"/>
      <c r="J144" s="74"/>
      <c r="K144" s="74"/>
    </row>
    <row r="145" outlineLevel="2">
      <c r="A145" s="69"/>
      <c r="B145" s="133" t="s">
        <v>245</v>
      </c>
      <c r="C145" s="71" t="s">
        <v>22</v>
      </c>
      <c r="E145" s="134">
        <f t="shared" si="15"/>
        <v>45361</v>
      </c>
      <c r="F145" s="135" t="s">
        <v>34</v>
      </c>
      <c r="G145" s="74"/>
      <c r="H145" s="74"/>
      <c r="I145" s="74"/>
      <c r="J145" s="74"/>
      <c r="K145" s="74"/>
    </row>
    <row r="146" outlineLevel="2">
      <c r="A146" s="69"/>
      <c r="B146" s="133" t="s">
        <v>246</v>
      </c>
      <c r="C146" s="71" t="s">
        <v>10</v>
      </c>
      <c r="E146" s="134">
        <f t="shared" si="15"/>
        <v>45371</v>
      </c>
      <c r="F146" s="135" t="s">
        <v>34</v>
      </c>
      <c r="G146" s="74"/>
      <c r="H146" s="74"/>
      <c r="I146" s="74"/>
      <c r="J146" s="74"/>
      <c r="K146" s="74"/>
    </row>
    <row r="147" outlineLevel="2">
      <c r="A147" s="69"/>
      <c r="B147" s="133" t="s">
        <v>247</v>
      </c>
      <c r="C147" s="71" t="s">
        <v>10</v>
      </c>
      <c r="E147" s="134">
        <f t="shared" si="15"/>
        <v>45381</v>
      </c>
      <c r="F147" s="135" t="s">
        <v>34</v>
      </c>
      <c r="G147" s="74"/>
      <c r="H147" s="74"/>
      <c r="I147" s="74"/>
      <c r="J147" s="74"/>
      <c r="K147" s="74"/>
    </row>
    <row r="148" outlineLevel="2">
      <c r="A148" s="136"/>
      <c r="B148" s="137" t="s">
        <v>248</v>
      </c>
      <c r="C148" s="71" t="s">
        <v>10</v>
      </c>
      <c r="E148" s="134">
        <f t="shared" si="15"/>
        <v>45391</v>
      </c>
      <c r="F148" s="135" t="s">
        <v>34</v>
      </c>
      <c r="G148" s="74"/>
      <c r="H148" s="74"/>
      <c r="I148" s="74"/>
      <c r="J148" s="74"/>
      <c r="K148" s="74"/>
    </row>
    <row r="149" outlineLevel="2">
      <c r="A149" s="69"/>
      <c r="B149" s="133" t="s">
        <v>249</v>
      </c>
      <c r="C149" s="71" t="s">
        <v>10</v>
      </c>
      <c r="E149" s="134">
        <f t="shared" si="15"/>
        <v>45401</v>
      </c>
      <c r="F149" s="135" t="s">
        <v>34</v>
      </c>
      <c r="G149" s="74"/>
      <c r="H149" s="74"/>
      <c r="I149" s="74"/>
      <c r="J149" s="74"/>
      <c r="K149" s="74"/>
    </row>
    <row r="150" outlineLevel="2">
      <c r="A150" s="69"/>
      <c r="B150" s="133" t="s">
        <v>250</v>
      </c>
      <c r="C150" s="71" t="s">
        <v>10</v>
      </c>
      <c r="E150" s="134">
        <f t="shared" si="15"/>
        <v>45411</v>
      </c>
      <c r="F150" s="135" t="s">
        <v>34</v>
      </c>
      <c r="G150" s="74"/>
      <c r="H150" s="74"/>
      <c r="I150" s="74"/>
      <c r="J150" s="74"/>
      <c r="K150" s="74"/>
    </row>
    <row r="151" outlineLevel="2">
      <c r="A151" s="69"/>
      <c r="B151" s="133" t="s">
        <v>251</v>
      </c>
      <c r="C151" s="71" t="s">
        <v>10</v>
      </c>
      <c r="E151" s="134">
        <f t="shared" si="15"/>
        <v>45421</v>
      </c>
      <c r="F151" s="135" t="s">
        <v>34</v>
      </c>
      <c r="G151" s="74"/>
      <c r="H151" s="74"/>
      <c r="I151" s="74"/>
      <c r="J151" s="74"/>
      <c r="K151" s="74"/>
    </row>
    <row r="152" outlineLevel="2">
      <c r="A152" s="69"/>
      <c r="B152" s="133" t="s">
        <v>252</v>
      </c>
      <c r="C152" s="71" t="s">
        <v>10</v>
      </c>
      <c r="E152" s="134">
        <f t="shared" si="15"/>
        <v>45431</v>
      </c>
      <c r="F152" s="135" t="s">
        <v>34</v>
      </c>
      <c r="G152" s="74"/>
      <c r="H152" s="74"/>
      <c r="I152" s="74"/>
      <c r="J152" s="74"/>
      <c r="K152" s="74"/>
    </row>
    <row r="153" outlineLevel="2">
      <c r="A153" s="69"/>
      <c r="B153" s="133" t="s">
        <v>253</v>
      </c>
      <c r="C153" s="71" t="s">
        <v>10</v>
      </c>
      <c r="E153" s="134">
        <f t="shared" si="15"/>
        <v>45441</v>
      </c>
      <c r="F153" s="135" t="s">
        <v>34</v>
      </c>
      <c r="G153" s="74"/>
      <c r="H153" s="74"/>
      <c r="I153" s="74"/>
      <c r="J153" s="74"/>
      <c r="K153" s="74"/>
    </row>
    <row r="154" outlineLevel="2">
      <c r="A154" s="69"/>
      <c r="B154" s="133" t="s">
        <v>254</v>
      </c>
      <c r="C154" s="71" t="s">
        <v>22</v>
      </c>
      <c r="E154" s="134">
        <f t="shared" si="15"/>
        <v>45451</v>
      </c>
      <c r="F154" s="135" t="s">
        <v>34</v>
      </c>
      <c r="G154" s="74"/>
      <c r="H154" s="74"/>
      <c r="I154" s="74"/>
      <c r="J154" s="74"/>
      <c r="K154" s="74"/>
    </row>
    <row r="155" outlineLevel="2">
      <c r="A155" s="69"/>
      <c r="B155" s="133" t="s">
        <v>255</v>
      </c>
      <c r="C155" s="71" t="s">
        <v>10</v>
      </c>
      <c r="E155" s="134">
        <f t="shared" si="15"/>
        <v>45461</v>
      </c>
      <c r="F155" s="135" t="s">
        <v>34</v>
      </c>
      <c r="G155" s="74"/>
      <c r="H155" s="74"/>
      <c r="I155" s="74"/>
      <c r="J155" s="74"/>
      <c r="K155" s="74"/>
    </row>
    <row r="156" outlineLevel="2">
      <c r="A156" s="69"/>
      <c r="B156" s="133" t="s">
        <v>256</v>
      </c>
      <c r="C156" s="71" t="s">
        <v>10</v>
      </c>
      <c r="E156" s="134">
        <f t="shared" si="15"/>
        <v>45471</v>
      </c>
      <c r="F156" s="135" t="s">
        <v>34</v>
      </c>
      <c r="G156" s="74"/>
      <c r="H156" s="74"/>
      <c r="I156" s="74"/>
      <c r="J156" s="74"/>
      <c r="K156" s="74"/>
    </row>
    <row r="157" outlineLevel="2">
      <c r="A157" s="69"/>
      <c r="B157" s="133" t="s">
        <v>257</v>
      </c>
      <c r="C157" s="71" t="s">
        <v>10</v>
      </c>
      <c r="E157" s="134">
        <f t="shared" si="15"/>
        <v>45481</v>
      </c>
      <c r="F157" s="135" t="s">
        <v>34</v>
      </c>
      <c r="G157" s="74"/>
      <c r="H157" s="74"/>
      <c r="I157" s="74"/>
      <c r="J157" s="74"/>
      <c r="K157" s="74"/>
    </row>
    <row r="158" outlineLevel="2">
      <c r="A158" s="69"/>
      <c r="B158" s="133" t="s">
        <v>258</v>
      </c>
      <c r="C158" s="71" t="s">
        <v>10</v>
      </c>
      <c r="E158" s="134">
        <f t="shared" si="15"/>
        <v>45491</v>
      </c>
      <c r="F158" s="135" t="s">
        <v>34</v>
      </c>
      <c r="G158" s="74"/>
      <c r="H158" s="74"/>
      <c r="I158" s="74"/>
      <c r="J158" s="74"/>
      <c r="K158" s="74"/>
    </row>
    <row r="159" outlineLevel="2">
      <c r="A159" s="136"/>
      <c r="B159" s="137" t="s">
        <v>259</v>
      </c>
      <c r="C159" s="71" t="s">
        <v>10</v>
      </c>
      <c r="E159" s="134">
        <f t="shared" si="15"/>
        <v>45501</v>
      </c>
      <c r="F159" s="135" t="s">
        <v>34</v>
      </c>
      <c r="G159" s="74"/>
      <c r="H159" s="74"/>
      <c r="I159" s="74"/>
      <c r="J159" s="74"/>
      <c r="K159" s="74"/>
    </row>
    <row r="160" outlineLevel="2">
      <c r="A160" s="69"/>
      <c r="B160" s="133" t="s">
        <v>260</v>
      </c>
      <c r="C160" s="71" t="s">
        <v>10</v>
      </c>
      <c r="E160" s="134">
        <f t="shared" si="15"/>
        <v>45511</v>
      </c>
      <c r="F160" s="135" t="s">
        <v>34</v>
      </c>
      <c r="G160" s="74"/>
      <c r="H160" s="74"/>
      <c r="I160" s="74"/>
      <c r="J160" s="74"/>
      <c r="K160" s="74"/>
    </row>
    <row r="161" outlineLevel="2">
      <c r="A161" s="69"/>
      <c r="B161" s="133" t="s">
        <v>261</v>
      </c>
      <c r="C161" s="71" t="s">
        <v>10</v>
      </c>
      <c r="E161" s="134">
        <f t="shared" si="15"/>
        <v>45521</v>
      </c>
      <c r="F161" s="135" t="s">
        <v>34</v>
      </c>
      <c r="G161" s="74"/>
      <c r="H161" s="74"/>
      <c r="I161" s="74"/>
      <c r="J161" s="74"/>
      <c r="K161" s="74"/>
    </row>
    <row r="162" outlineLevel="2">
      <c r="A162" s="69"/>
      <c r="B162" s="133" t="s">
        <v>262</v>
      </c>
      <c r="C162" s="71" t="s">
        <v>10</v>
      </c>
      <c r="E162" s="134">
        <f t="shared" si="15"/>
        <v>45531</v>
      </c>
      <c r="F162" s="135" t="s">
        <v>34</v>
      </c>
      <c r="G162" s="74"/>
      <c r="H162" s="74"/>
      <c r="I162" s="74"/>
      <c r="J162" s="74"/>
      <c r="K162" s="74"/>
    </row>
    <row r="163" outlineLevel="2">
      <c r="A163" s="136"/>
      <c r="B163" s="137" t="s">
        <v>263</v>
      </c>
      <c r="C163" s="71" t="s">
        <v>22</v>
      </c>
      <c r="E163" s="134">
        <f t="shared" si="15"/>
        <v>45541</v>
      </c>
      <c r="F163" s="135" t="s">
        <v>34</v>
      </c>
      <c r="G163" s="74"/>
      <c r="H163" s="74"/>
      <c r="I163" s="74"/>
      <c r="J163" s="74"/>
      <c r="K163" s="74"/>
    </row>
    <row r="164" outlineLevel="2">
      <c r="A164" s="136"/>
      <c r="B164" s="143" t="s">
        <v>264</v>
      </c>
      <c r="C164" s="71" t="s">
        <v>10</v>
      </c>
      <c r="E164" s="72">
        <v>45579.0</v>
      </c>
      <c r="F164" s="135" t="s">
        <v>34</v>
      </c>
      <c r="G164" s="74"/>
      <c r="H164" s="73" t="s">
        <v>265</v>
      </c>
      <c r="I164" s="74"/>
      <c r="J164" s="74"/>
      <c r="K164" s="74"/>
    </row>
    <row r="165" outlineLevel="2">
      <c r="A165" s="69"/>
      <c r="B165" s="133" t="s">
        <v>266</v>
      </c>
      <c r="C165" s="71" t="s">
        <v>10</v>
      </c>
      <c r="E165" s="134">
        <f>E163+10</f>
        <v>45551</v>
      </c>
      <c r="F165" s="135" t="s">
        <v>34</v>
      </c>
      <c r="G165" s="74"/>
      <c r="H165" s="74"/>
      <c r="I165" s="74"/>
      <c r="J165" s="74"/>
      <c r="K165" s="74"/>
    </row>
    <row r="166" outlineLevel="1">
      <c r="A166" s="144" t="s">
        <v>267</v>
      </c>
      <c r="B166" s="26"/>
      <c r="C166" s="27"/>
      <c r="D166" s="28"/>
      <c r="E166" s="28"/>
      <c r="F166" s="28"/>
      <c r="G166" s="27"/>
      <c r="H166" s="29"/>
      <c r="I166" s="27"/>
      <c r="J166" s="27"/>
      <c r="K166" s="29"/>
    </row>
    <row r="167" outlineLevel="2">
      <c r="A167" s="145"/>
      <c r="B167" s="146" t="s">
        <v>268</v>
      </c>
      <c r="C167" s="63" t="s">
        <v>10</v>
      </c>
      <c r="E167" s="147"/>
      <c r="F167" s="147" t="s">
        <v>269</v>
      </c>
      <c r="G167" s="67" t="s">
        <v>270</v>
      </c>
      <c r="H167" s="67"/>
      <c r="I167" s="67"/>
      <c r="J167" s="67"/>
      <c r="K167" s="67"/>
    </row>
    <row r="168" outlineLevel="2">
      <c r="A168" s="145"/>
      <c r="B168" s="146" t="s">
        <v>271</v>
      </c>
      <c r="C168" s="63" t="s">
        <v>22</v>
      </c>
      <c r="E168" s="147"/>
      <c r="F168" s="147" t="s">
        <v>269</v>
      </c>
      <c r="G168" s="67" t="s">
        <v>272</v>
      </c>
      <c r="H168" s="67"/>
      <c r="I168" s="67"/>
      <c r="J168" s="67"/>
      <c r="K168" s="67"/>
    </row>
    <row r="169">
      <c r="A169" s="19" t="s">
        <v>273</v>
      </c>
      <c r="B169" s="132"/>
      <c r="C169" s="21"/>
      <c r="D169" s="22"/>
      <c r="E169" s="22"/>
      <c r="F169" s="22"/>
      <c r="G169" s="23"/>
      <c r="H169" s="24"/>
      <c r="I169" s="23"/>
      <c r="J169" s="23"/>
      <c r="K169" s="24"/>
    </row>
    <row r="170" outlineLevel="1">
      <c r="A170" s="30"/>
      <c r="B170" s="59">
        <f t="shared" ref="B170:B1052" si="16">hyperlink("https://www.amazon.com/s?k="&amp;ENCODEURL(K170),J170)</f>
        <v>14</v>
      </c>
      <c r="C170" s="32" t="s">
        <v>10</v>
      </c>
      <c r="D170" s="33"/>
      <c r="E170" s="33"/>
      <c r="F170" s="33" t="s">
        <v>51</v>
      </c>
      <c r="G170" s="36"/>
      <c r="H170" s="60" t="s">
        <v>274</v>
      </c>
      <c r="I170" s="36"/>
      <c r="J170" s="36">
        <v>14.0</v>
      </c>
      <c r="K170" s="60" t="str">
        <f t="shared" ref="K170:K1052" si="17">CONCATENATE(J170," by ",H170)</f>
        <v>14 by Peter Clines</v>
      </c>
    </row>
    <row r="171" outlineLevel="1">
      <c r="A171" s="30"/>
      <c r="B171" s="59">
        <f t="shared" si="16"/>
        <v>2312</v>
      </c>
      <c r="C171" s="32" t="s">
        <v>10</v>
      </c>
      <c r="D171" s="33"/>
      <c r="E171" s="33"/>
      <c r="F171" s="33" t="s">
        <v>51</v>
      </c>
      <c r="G171" s="36"/>
      <c r="H171" s="60" t="s">
        <v>275</v>
      </c>
      <c r="I171" s="36"/>
      <c r="J171" s="36">
        <v>2312.0</v>
      </c>
      <c r="K171" s="60" t="str">
        <f t="shared" si="17"/>
        <v>2312 by Kim Stanley Robinson</v>
      </c>
    </row>
    <row r="172" outlineLevel="1">
      <c r="A172" s="30"/>
      <c r="B172" s="59" t="str">
        <f t="shared" si="16"/>
        <v>&amp; Sons</v>
      </c>
      <c r="C172" s="32" t="s">
        <v>10</v>
      </c>
      <c r="D172" s="33"/>
      <c r="E172" s="33"/>
      <c r="F172" s="33" t="s">
        <v>51</v>
      </c>
      <c r="G172" s="36"/>
      <c r="H172" s="60" t="s">
        <v>276</v>
      </c>
      <c r="I172" s="36"/>
      <c r="J172" s="36" t="s">
        <v>277</v>
      </c>
      <c r="K172" s="60" t="str">
        <f t="shared" si="17"/>
        <v>&amp; Sons by David Gilbert</v>
      </c>
    </row>
    <row r="173" outlineLevel="1">
      <c r="A173" s="30"/>
      <c r="B173" s="59" t="str">
        <f t="shared" si="16"/>
        <v>101 Essays That Will Change The Way You Think</v>
      </c>
      <c r="C173" s="32" t="s">
        <v>22</v>
      </c>
      <c r="D173" s="33"/>
      <c r="E173" s="33"/>
      <c r="F173" s="33" t="s">
        <v>51</v>
      </c>
      <c r="G173" s="36"/>
      <c r="H173" s="35" t="s">
        <v>278</v>
      </c>
      <c r="I173" s="36"/>
      <c r="J173" s="36" t="s">
        <v>279</v>
      </c>
      <c r="K173" s="60" t="str">
        <f t="shared" si="17"/>
        <v>101 Essays That Will Change The Way You Think by Brianna Wiest</v>
      </c>
    </row>
    <row r="174" outlineLevel="1">
      <c r="A174" s="30"/>
      <c r="B174" s="59" t="str">
        <f t="shared" si="16"/>
        <v>1356: A Novel</v>
      </c>
      <c r="C174" s="32" t="s">
        <v>10</v>
      </c>
      <c r="D174" s="33"/>
      <c r="E174" s="33"/>
      <c r="F174" s="33" t="s">
        <v>51</v>
      </c>
      <c r="G174" s="36"/>
      <c r="H174" s="60" t="s">
        <v>280</v>
      </c>
      <c r="I174" s="36"/>
      <c r="J174" s="36" t="s">
        <v>281</v>
      </c>
      <c r="K174" s="60" t="str">
        <f t="shared" si="17"/>
        <v>1356: A Novel by Bernard Cornwell</v>
      </c>
    </row>
    <row r="175" outlineLevel="1">
      <c r="A175" s="30"/>
      <c r="B175" s="59" t="str">
        <f t="shared" si="16"/>
        <v>1929: Inside the Greatest Crash in Wall Street History--and How It Shattered a Nation</v>
      </c>
      <c r="C175" s="32" t="s">
        <v>22</v>
      </c>
      <c r="D175" s="33"/>
      <c r="E175" s="33"/>
      <c r="F175" s="33" t="s">
        <v>51</v>
      </c>
      <c r="G175" s="36"/>
      <c r="H175" s="60" t="s">
        <v>130</v>
      </c>
      <c r="I175" s="36"/>
      <c r="J175" s="36" t="s">
        <v>282</v>
      </c>
      <c r="K175" s="60" t="str">
        <f t="shared" si="17"/>
        <v>1929: Inside the Greatest Crash in Wall Street History--and How It Shattered a Nation by Andrew Ross Sorkin</v>
      </c>
    </row>
    <row r="176" outlineLevel="1">
      <c r="A176" s="30"/>
      <c r="B176" s="59" t="str">
        <f t="shared" si="16"/>
        <v>20th Century Ghosts</v>
      </c>
      <c r="C176" s="32" t="s">
        <v>10</v>
      </c>
      <c r="D176" s="33"/>
      <c r="E176" s="33"/>
      <c r="F176" s="33" t="s">
        <v>51</v>
      </c>
      <c r="G176" s="36"/>
      <c r="H176" s="60" t="s">
        <v>283</v>
      </c>
      <c r="I176" s="36"/>
      <c r="J176" s="36" t="s">
        <v>284</v>
      </c>
      <c r="K176" s="60" t="str">
        <f t="shared" si="17"/>
        <v>20th Century Ghosts by Joe Hill</v>
      </c>
    </row>
    <row r="177" outlineLevel="1">
      <c r="A177" s="30"/>
      <c r="B177" s="59" t="str">
        <f t="shared" si="16"/>
        <v>28 Summers</v>
      </c>
      <c r="C177" s="32" t="s">
        <v>10</v>
      </c>
      <c r="D177" s="33"/>
      <c r="E177" s="33"/>
      <c r="F177" s="33" t="s">
        <v>51</v>
      </c>
      <c r="G177" s="36"/>
      <c r="H177" s="60" t="s">
        <v>285</v>
      </c>
      <c r="I177" s="36"/>
      <c r="J177" s="36" t="s">
        <v>286</v>
      </c>
      <c r="K177" s="60" t="str">
        <f t="shared" si="17"/>
        <v>28 Summers by Elin Hilderbrand</v>
      </c>
    </row>
    <row r="178" outlineLevel="1">
      <c r="A178" s="30"/>
      <c r="B178" s="59" t="str">
        <f t="shared" si="16"/>
        <v>7 Powers: The Foundations of Business Strategy</v>
      </c>
      <c r="C178" s="32" t="s">
        <v>10</v>
      </c>
      <c r="D178" s="33"/>
      <c r="E178" s="33"/>
      <c r="F178" s="33" t="s">
        <v>51</v>
      </c>
      <c r="G178" s="36"/>
      <c r="H178" s="60" t="s">
        <v>287</v>
      </c>
      <c r="I178" s="36"/>
      <c r="J178" s="36" t="s">
        <v>288</v>
      </c>
      <c r="K178" s="60" t="str">
        <f t="shared" si="17"/>
        <v>7 Powers: The Foundations of Business Strategy by Hamilton Helmer</v>
      </c>
    </row>
    <row r="179" outlineLevel="1">
      <c r="A179" s="30"/>
      <c r="B179" s="59" t="str">
        <f t="shared" si="16"/>
        <v>A Cold Day in Paradise: An Alex McKnight Novel</v>
      </c>
      <c r="C179" s="32" t="s">
        <v>10</v>
      </c>
      <c r="D179" s="33"/>
      <c r="E179" s="33"/>
      <c r="F179" s="33" t="s">
        <v>51</v>
      </c>
      <c r="G179" s="36"/>
      <c r="H179" s="60" t="s">
        <v>289</v>
      </c>
      <c r="I179" s="36"/>
      <c r="J179" s="36" t="s">
        <v>290</v>
      </c>
      <c r="K179" s="60" t="str">
        <f t="shared" si="17"/>
        <v>A Cold Day in Paradise: An Alex McKnight Novel by Steve Hamilton</v>
      </c>
    </row>
    <row r="180" outlineLevel="1">
      <c r="A180" s="30"/>
      <c r="B180" s="59" t="str">
        <f t="shared" si="16"/>
        <v>A Constellation of Vital Phenomena</v>
      </c>
      <c r="C180" s="32" t="s">
        <v>10</v>
      </c>
      <c r="D180" s="33"/>
      <c r="E180" s="33"/>
      <c r="F180" s="33" t="s">
        <v>51</v>
      </c>
      <c r="G180" s="36"/>
      <c r="H180" s="60" t="s">
        <v>291</v>
      </c>
      <c r="I180" s="36"/>
      <c r="J180" s="36" t="s">
        <v>292</v>
      </c>
      <c r="K180" s="60" t="str">
        <f t="shared" si="17"/>
        <v>A Constellation of Vital Phenomena by Anthony Marra</v>
      </c>
    </row>
    <row r="181" outlineLevel="1">
      <c r="A181" s="30"/>
      <c r="B181" s="59" t="str">
        <f t="shared" si="16"/>
        <v>A Deadly Education: A Novel (The Scholomance)</v>
      </c>
      <c r="C181" s="32" t="s">
        <v>10</v>
      </c>
      <c r="D181" s="33"/>
      <c r="E181" s="33"/>
      <c r="F181" s="33" t="s">
        <v>51</v>
      </c>
      <c r="G181" s="36"/>
      <c r="H181" s="60" t="s">
        <v>293</v>
      </c>
      <c r="I181" s="36"/>
      <c r="J181" s="36" t="s">
        <v>294</v>
      </c>
      <c r="K181" s="60" t="str">
        <f t="shared" si="17"/>
        <v>A Deadly Education: A Novel (The Scholomance) by Naomi Novik</v>
      </c>
    </row>
    <row r="182" outlineLevel="1">
      <c r="A182" s="30"/>
      <c r="B182" s="59" t="str">
        <f t="shared" si="16"/>
        <v>A Different Way to Win: Dan Rooney's Story from the Super Bowl to the Rooney Rule</v>
      </c>
      <c r="C182" s="32" t="s">
        <v>10</v>
      </c>
      <c r="D182" s="33"/>
      <c r="E182" s="33"/>
      <c r="F182" s="33" t="s">
        <v>51</v>
      </c>
      <c r="G182" s="36"/>
      <c r="H182" s="60" t="s">
        <v>295</v>
      </c>
      <c r="I182" s="36"/>
      <c r="J182" s="36" t="s">
        <v>296</v>
      </c>
      <c r="K182" s="60" t="str">
        <f t="shared" si="17"/>
        <v>A Different Way to Win: Dan Rooney's Story from the Super Bowl to the Rooney Rule by Jim Rooney, Joe Greene</v>
      </c>
    </row>
    <row r="183" outlineLevel="1">
      <c r="A183" s="30"/>
      <c r="B183" s="59" t="str">
        <f t="shared" si="16"/>
        <v>A Discovery of Witches</v>
      </c>
      <c r="C183" s="32" t="s">
        <v>10</v>
      </c>
      <c r="D183" s="33"/>
      <c r="E183" s="33"/>
      <c r="F183" s="33" t="s">
        <v>51</v>
      </c>
      <c r="G183" s="36"/>
      <c r="H183" s="60" t="s">
        <v>297</v>
      </c>
      <c r="I183" s="36"/>
      <c r="J183" s="36" t="s">
        <v>298</v>
      </c>
      <c r="K183" s="60" t="str">
        <f t="shared" si="17"/>
        <v>A Discovery of Witches by Deborah Harkness</v>
      </c>
    </row>
    <row r="184" outlineLevel="1">
      <c r="A184" s="30"/>
      <c r="B184" s="59" t="str">
        <f t="shared" si="16"/>
        <v>A Far-Off Place</v>
      </c>
      <c r="C184" s="32" t="s">
        <v>10</v>
      </c>
      <c r="D184" s="33"/>
      <c r="E184" s="33"/>
      <c r="F184" s="33" t="s">
        <v>51</v>
      </c>
      <c r="G184" s="36"/>
      <c r="H184" s="60" t="s">
        <v>299</v>
      </c>
      <c r="I184" s="36"/>
      <c r="J184" s="36" t="s">
        <v>300</v>
      </c>
      <c r="K184" s="60" t="str">
        <f t="shared" si="17"/>
        <v>A Far-Off Place by Laurens van der Post</v>
      </c>
    </row>
    <row r="185" outlineLevel="1">
      <c r="A185" s="30"/>
      <c r="B185" s="59" t="str">
        <f t="shared" si="16"/>
        <v>A Fighting Chance</v>
      </c>
      <c r="C185" s="32" t="s">
        <v>10</v>
      </c>
      <c r="D185" s="33"/>
      <c r="E185" s="33"/>
      <c r="F185" s="33" t="s">
        <v>51</v>
      </c>
      <c r="G185" s="36"/>
      <c r="H185" s="60" t="s">
        <v>301</v>
      </c>
      <c r="I185" s="36"/>
      <c r="J185" s="36" t="s">
        <v>302</v>
      </c>
      <c r="K185" s="60" t="str">
        <f t="shared" si="17"/>
        <v>A Fighting Chance by Elizabeth Warren</v>
      </c>
    </row>
    <row r="186" outlineLevel="1">
      <c r="A186" s="30"/>
      <c r="B186" s="59" t="str">
        <f t="shared" si="16"/>
        <v>A General Theory of Love</v>
      </c>
      <c r="C186" s="32" t="s">
        <v>22</v>
      </c>
      <c r="D186" s="33"/>
      <c r="E186" s="33"/>
      <c r="F186" s="33" t="s">
        <v>51</v>
      </c>
      <c r="G186" s="36"/>
      <c r="H186" s="60" t="s">
        <v>303</v>
      </c>
      <c r="I186" s="36"/>
      <c r="J186" s="36" t="s">
        <v>304</v>
      </c>
      <c r="K186" s="60" t="str">
        <f t="shared" si="17"/>
        <v>A General Theory of Love by Thomas Lewis, Richard Lannon</v>
      </c>
    </row>
    <row r="187" outlineLevel="1">
      <c r="A187" s="30"/>
      <c r="B187" s="59" t="str">
        <f t="shared" si="16"/>
        <v>A Heartbreaking Work of Staggering Genius</v>
      </c>
      <c r="C187" s="32" t="s">
        <v>10</v>
      </c>
      <c r="D187" s="33"/>
      <c r="E187" s="33"/>
      <c r="F187" s="33" t="s">
        <v>51</v>
      </c>
      <c r="G187" s="36" t="s">
        <v>305</v>
      </c>
      <c r="H187" s="60" t="s">
        <v>306</v>
      </c>
      <c r="I187" s="36"/>
      <c r="J187" s="36" t="s">
        <v>307</v>
      </c>
      <c r="K187" s="60" t="str">
        <f t="shared" si="17"/>
        <v>A Heartbreaking Work of Staggering Genius by Dave Eggers</v>
      </c>
    </row>
    <row r="188" outlineLevel="1">
      <c r="A188" s="30"/>
      <c r="B188" s="59" t="str">
        <f t="shared" si="16"/>
        <v>A Hope in the Unseen: An American Odyssey from the Inner City to the Ivy League</v>
      </c>
      <c r="C188" s="32" t="s">
        <v>10</v>
      </c>
      <c r="D188" s="33"/>
      <c r="E188" s="33"/>
      <c r="F188" s="33" t="s">
        <v>51</v>
      </c>
      <c r="G188" s="36"/>
      <c r="H188" s="60" t="s">
        <v>308</v>
      </c>
      <c r="I188" s="36"/>
      <c r="J188" s="36" t="s">
        <v>309</v>
      </c>
      <c r="K188" s="60" t="str">
        <f t="shared" si="17"/>
        <v>A Hope in the Unseen: An American Odyssey from the Inner City to the Ivy League by Ron Suskind</v>
      </c>
    </row>
    <row r="189" outlineLevel="1">
      <c r="A189" s="30"/>
      <c r="B189" s="59" t="str">
        <f t="shared" si="16"/>
        <v>A Little History of the World</v>
      </c>
      <c r="C189" s="32" t="s">
        <v>10</v>
      </c>
      <c r="D189" s="33"/>
      <c r="E189" s="33"/>
      <c r="F189" s="33" t="s">
        <v>51</v>
      </c>
      <c r="G189" s="36"/>
      <c r="H189" s="60" t="s">
        <v>310</v>
      </c>
      <c r="I189" s="36"/>
      <c r="J189" s="36" t="s">
        <v>311</v>
      </c>
      <c r="K189" s="60" t="str">
        <f t="shared" si="17"/>
        <v>A Little History of the World by E. H. Gombrich, Clifford Harper</v>
      </c>
    </row>
    <row r="190" outlineLevel="1">
      <c r="A190" s="30"/>
      <c r="B190" s="59" t="str">
        <f t="shared" si="16"/>
        <v>A Man Called Ove: A Novel</v>
      </c>
      <c r="C190" s="32" t="s">
        <v>10</v>
      </c>
      <c r="D190" s="33"/>
      <c r="E190" s="33"/>
      <c r="F190" s="33" t="s">
        <v>51</v>
      </c>
      <c r="G190" s="36"/>
      <c r="H190" s="60" t="s">
        <v>136</v>
      </c>
      <c r="I190" s="36"/>
      <c r="J190" s="36" t="s">
        <v>312</v>
      </c>
      <c r="K190" s="60" t="str">
        <f t="shared" si="17"/>
        <v>A Man Called Ove: A Novel by Fredrik Backman</v>
      </c>
    </row>
    <row r="191" outlineLevel="1">
      <c r="A191" s="30"/>
      <c r="B191" s="59" t="str">
        <f t="shared" si="16"/>
        <v>A Manual for Cleaning Women: Selected Stories</v>
      </c>
      <c r="C191" s="32" t="s">
        <v>10</v>
      </c>
      <c r="D191" s="33"/>
      <c r="E191" s="33"/>
      <c r="F191" s="33" t="s">
        <v>51</v>
      </c>
      <c r="G191" s="36"/>
      <c r="H191" s="60" t="s">
        <v>313</v>
      </c>
      <c r="I191" s="36"/>
      <c r="J191" s="36" t="s">
        <v>314</v>
      </c>
      <c r="K191" s="60" t="str">
        <f t="shared" si="17"/>
        <v>A Manual for Cleaning Women: Selected Stories by Lucia Berlin, Stephen Emerson</v>
      </c>
    </row>
    <row r="192" outlineLevel="1">
      <c r="A192" s="30"/>
      <c r="B192" s="59" t="str">
        <f t="shared" si="16"/>
        <v>A More Beautiful Question: The Power of Inquiry to Spark Breakthrough Ideas</v>
      </c>
      <c r="C192" s="32" t="s">
        <v>22</v>
      </c>
      <c r="D192" s="33"/>
      <c r="E192" s="33"/>
      <c r="F192" s="33" t="s">
        <v>51</v>
      </c>
      <c r="G192" s="36"/>
      <c r="H192" s="60" t="s">
        <v>315</v>
      </c>
      <c r="I192" s="36"/>
      <c r="J192" s="36" t="s">
        <v>316</v>
      </c>
      <c r="K192" s="60" t="str">
        <f t="shared" si="17"/>
        <v>A More Beautiful Question: The Power of Inquiry to Spark Breakthrough Ideas by Warren Berger</v>
      </c>
    </row>
    <row r="193" outlineLevel="1">
      <c r="A193" s="30"/>
      <c r="B193" s="59" t="str">
        <f t="shared" si="16"/>
        <v>A People's History of the United States</v>
      </c>
      <c r="C193" s="32" t="s">
        <v>22</v>
      </c>
      <c r="D193" s="33"/>
      <c r="E193" s="33"/>
      <c r="F193" s="33" t="s">
        <v>51</v>
      </c>
      <c r="G193" s="36"/>
      <c r="H193" s="60" t="s">
        <v>317</v>
      </c>
      <c r="I193" s="36"/>
      <c r="J193" s="148" t="s">
        <v>318</v>
      </c>
      <c r="K193" s="60" t="str">
        <f t="shared" si="17"/>
        <v>A People's History of the United States by Jeff Zinn, Howard Zinn</v>
      </c>
    </row>
    <row r="194" outlineLevel="1">
      <c r="A194" s="30"/>
      <c r="B194" s="59" t="str">
        <f t="shared" si="16"/>
        <v>A People's History of the United States: 1492 to Present, Revised and Updated Edition</v>
      </c>
      <c r="C194" s="32" t="s">
        <v>10</v>
      </c>
      <c r="D194" s="33"/>
      <c r="E194" s="33"/>
      <c r="F194" s="33" t="s">
        <v>51</v>
      </c>
      <c r="G194" s="36"/>
      <c r="H194" s="60" t="s">
        <v>319</v>
      </c>
      <c r="I194" s="36"/>
      <c r="J194" s="36" t="s">
        <v>320</v>
      </c>
      <c r="K194" s="60" t="str">
        <f t="shared" si="17"/>
        <v>A People's History of the United States: 1492 to Present, Revised and Updated Edition by Howard Zinn</v>
      </c>
    </row>
    <row r="195" outlineLevel="1">
      <c r="A195" s="30"/>
      <c r="B195" s="59" t="str">
        <f t="shared" si="16"/>
        <v>A Rage for Order: The Middle East in Turmoil, from Tahrir Square to ISIS</v>
      </c>
      <c r="C195" s="32" t="s">
        <v>22</v>
      </c>
      <c r="D195" s="33"/>
      <c r="E195" s="33"/>
      <c r="F195" s="33" t="s">
        <v>51</v>
      </c>
      <c r="G195" s="36"/>
      <c r="H195" s="60" t="s">
        <v>321</v>
      </c>
      <c r="I195" s="36"/>
      <c r="J195" s="36" t="s">
        <v>322</v>
      </c>
      <c r="K195" s="60" t="str">
        <f t="shared" si="17"/>
        <v>A Rage for Order: The Middle East in Turmoil, from Tahrir Square to ISIS by Robert F. Worth</v>
      </c>
    </row>
    <row r="196" outlineLevel="1">
      <c r="A196" s="30"/>
      <c r="B196" s="59" t="str">
        <f t="shared" si="16"/>
        <v>A Sense of Self: Memory, the Brain, and Who We Are</v>
      </c>
      <c r="C196" s="32" t="s">
        <v>10</v>
      </c>
      <c r="D196" s="33"/>
      <c r="E196" s="33"/>
      <c r="F196" s="33" t="s">
        <v>51</v>
      </c>
      <c r="G196" s="36"/>
      <c r="H196" s="60" t="s">
        <v>323</v>
      </c>
      <c r="I196" s="36"/>
      <c r="J196" s="36" t="s">
        <v>324</v>
      </c>
      <c r="K196" s="60" t="str">
        <f t="shared" si="17"/>
        <v>A Sense of Self: Memory, the Brain, and Who We Are by Veronica O'Keane</v>
      </c>
    </row>
    <row r="197" outlineLevel="1">
      <c r="A197" s="30"/>
      <c r="B197" s="59" t="str">
        <f t="shared" si="16"/>
        <v>A Short History of Nearly Everything</v>
      </c>
      <c r="C197" s="32" t="s">
        <v>10</v>
      </c>
      <c r="D197" s="33"/>
      <c r="E197" s="33"/>
      <c r="F197" s="33" t="s">
        <v>51</v>
      </c>
      <c r="G197" s="36"/>
      <c r="H197" s="60" t="s">
        <v>325</v>
      </c>
      <c r="I197" s="36"/>
      <c r="J197" s="36" t="s">
        <v>326</v>
      </c>
      <c r="K197" s="60" t="str">
        <f t="shared" si="17"/>
        <v>A Short History of Nearly Everything by Bill Bryson</v>
      </c>
    </row>
    <row r="198" outlineLevel="1">
      <c r="A198" s="30"/>
      <c r="B198" s="59" t="str">
        <f t="shared" si="16"/>
        <v>A Soldier Of The Great War</v>
      </c>
      <c r="C198" s="32" t="s">
        <v>10</v>
      </c>
      <c r="D198" s="33"/>
      <c r="E198" s="33"/>
      <c r="F198" s="33" t="s">
        <v>51</v>
      </c>
      <c r="G198" s="36"/>
      <c r="H198" s="60" t="s">
        <v>327</v>
      </c>
      <c r="I198" s="36"/>
      <c r="J198" s="36" t="s">
        <v>328</v>
      </c>
      <c r="K198" s="60" t="str">
        <f t="shared" si="17"/>
        <v>A Soldier Of The Great War by Mark Helprin</v>
      </c>
    </row>
    <row r="199" outlineLevel="1">
      <c r="A199" s="30"/>
      <c r="B199" s="59" t="str">
        <f t="shared" si="16"/>
        <v>A Spool of Blue Thread: A Novel</v>
      </c>
      <c r="C199" s="32" t="s">
        <v>10</v>
      </c>
      <c r="D199" s="33"/>
      <c r="E199" s="33"/>
      <c r="F199" s="33" t="s">
        <v>51</v>
      </c>
      <c r="G199" s="36"/>
      <c r="H199" s="60" t="s">
        <v>329</v>
      </c>
      <c r="I199" s="36"/>
      <c r="J199" s="36" t="s">
        <v>330</v>
      </c>
      <c r="K199" s="60" t="str">
        <f t="shared" si="17"/>
        <v>A Spool of Blue Thread: A Novel by Anne Tyler</v>
      </c>
    </row>
    <row r="200" outlineLevel="1">
      <c r="A200" s="30"/>
      <c r="B200" s="59" t="str">
        <f t="shared" si="16"/>
        <v>A Strangeness in My Mind: A novel</v>
      </c>
      <c r="C200" s="32" t="s">
        <v>10</v>
      </c>
      <c r="D200" s="33"/>
      <c r="E200" s="33"/>
      <c r="F200" s="33" t="s">
        <v>51</v>
      </c>
      <c r="G200" s="36"/>
      <c r="H200" s="60" t="s">
        <v>331</v>
      </c>
      <c r="I200" s="36"/>
      <c r="J200" s="36" t="s">
        <v>332</v>
      </c>
      <c r="K200" s="60" t="str">
        <f t="shared" si="17"/>
        <v>A Strangeness in My Mind: A novel by Orhan Pamuk, Ekin Oklap</v>
      </c>
    </row>
    <row r="201" outlineLevel="1">
      <c r="A201" s="30"/>
      <c r="B201" s="59" t="str">
        <f t="shared" si="16"/>
        <v>A Supposedly Fun Thing I'll Never Do Again: Essays and Arguments</v>
      </c>
      <c r="C201" s="32" t="s">
        <v>10</v>
      </c>
      <c r="D201" s="33"/>
      <c r="E201" s="33"/>
      <c r="F201" s="33" t="s">
        <v>51</v>
      </c>
      <c r="G201" s="36"/>
      <c r="H201" s="60" t="s">
        <v>333</v>
      </c>
      <c r="I201" s="36"/>
      <c r="J201" s="36" t="s">
        <v>334</v>
      </c>
      <c r="K201" s="60" t="str">
        <f t="shared" si="17"/>
        <v>A Supposedly Fun Thing I'll Never Do Again: Essays and Arguments by David Foster Wallace</v>
      </c>
    </row>
    <row r="202" outlineLevel="1">
      <c r="A202" s="30"/>
      <c r="B202" s="59" t="str">
        <f t="shared" si="16"/>
        <v>A Visit from the Goon Squad: Pulitzer Prize Winner</v>
      </c>
      <c r="C202" s="32" t="s">
        <v>10</v>
      </c>
      <c r="D202" s="33"/>
      <c r="E202" s="33"/>
      <c r="F202" s="33" t="s">
        <v>51</v>
      </c>
      <c r="G202" s="36"/>
      <c r="H202" s="60" t="s">
        <v>335</v>
      </c>
      <c r="I202" s="36"/>
      <c r="J202" s="36" t="s">
        <v>336</v>
      </c>
      <c r="K202" s="60" t="str">
        <f t="shared" si="17"/>
        <v>A Visit from the Goon Squad: Pulitzer Prize Winner by Jennifer Egan</v>
      </c>
    </row>
    <row r="203" outlineLevel="1">
      <c r="A203" s="30"/>
      <c r="B203" s="59" t="str">
        <f t="shared" si="16"/>
        <v>A Walk in the Woods: Rediscovering America on the Appalachian Trail</v>
      </c>
      <c r="C203" s="32" t="s">
        <v>10</v>
      </c>
      <c r="D203" s="33"/>
      <c r="E203" s="33"/>
      <c r="F203" s="33" t="s">
        <v>51</v>
      </c>
      <c r="G203" s="36"/>
      <c r="H203" s="60" t="s">
        <v>325</v>
      </c>
      <c r="I203" s="36"/>
      <c r="J203" s="36" t="s">
        <v>337</v>
      </c>
      <c r="K203" s="60" t="str">
        <f t="shared" si="17"/>
        <v>A Walk in the Woods: Rediscovering America on the Appalachian Trail by Bill Bryson</v>
      </c>
    </row>
    <row r="204" outlineLevel="1">
      <c r="A204" s="30"/>
      <c r="B204" s="59" t="str">
        <f t="shared" si="16"/>
        <v>A Week in Winter</v>
      </c>
      <c r="C204" s="32" t="s">
        <v>10</v>
      </c>
      <c r="D204" s="33"/>
      <c r="E204" s="33"/>
      <c r="F204" s="33" t="s">
        <v>51</v>
      </c>
      <c r="G204" s="36"/>
      <c r="H204" s="60" t="s">
        <v>338</v>
      </c>
      <c r="I204" s="36"/>
      <c r="J204" s="36" t="s">
        <v>339</v>
      </c>
      <c r="K204" s="60" t="str">
        <f t="shared" si="17"/>
        <v>A Week in Winter by Maeve Binchy</v>
      </c>
    </row>
    <row r="205" outlineLevel="1">
      <c r="A205" s="30"/>
      <c r="B205" s="59" t="str">
        <f t="shared" si="16"/>
        <v>Abaddon's Gate </v>
      </c>
      <c r="C205" s="32" t="s">
        <v>10</v>
      </c>
      <c r="D205" s="33"/>
      <c r="E205" s="33"/>
      <c r="F205" s="33" t="s">
        <v>51</v>
      </c>
      <c r="G205" s="36" t="s">
        <v>340</v>
      </c>
      <c r="H205" s="60" t="s">
        <v>341</v>
      </c>
      <c r="I205" s="36"/>
      <c r="J205" s="36" t="s">
        <v>342</v>
      </c>
      <c r="K205" s="60" t="str">
        <f t="shared" si="17"/>
        <v>Abaddon's Gate  by James S. A. Corey</v>
      </c>
    </row>
    <row r="206" outlineLevel="1">
      <c r="A206" s="30"/>
      <c r="B206" s="59" t="str">
        <f t="shared" si="16"/>
        <v>Absolute War: Soviet Russia in the Second World War</v>
      </c>
      <c r="C206" s="32" t="s">
        <v>10</v>
      </c>
      <c r="D206" s="33"/>
      <c r="E206" s="33"/>
      <c r="F206" s="33" t="s">
        <v>51</v>
      </c>
      <c r="G206" s="36"/>
      <c r="H206" s="60" t="s">
        <v>343</v>
      </c>
      <c r="I206" s="36"/>
      <c r="J206" s="36" t="s">
        <v>344</v>
      </c>
      <c r="K206" s="60" t="str">
        <f t="shared" si="17"/>
        <v>Absolute War: Soviet Russia in the Second World War by Chris Bellamy</v>
      </c>
    </row>
    <row r="207" outlineLevel="1">
      <c r="A207" s="30"/>
      <c r="B207" s="59" t="str">
        <f t="shared" si="16"/>
        <v>Accelerando</v>
      </c>
      <c r="C207" s="32" t="s">
        <v>10</v>
      </c>
      <c r="D207" s="33"/>
      <c r="E207" s="33"/>
      <c r="F207" s="33" t="s">
        <v>51</v>
      </c>
      <c r="G207" s="36" t="s">
        <v>345</v>
      </c>
      <c r="H207" s="60" t="s">
        <v>346</v>
      </c>
      <c r="I207" s="36"/>
      <c r="J207" s="36" t="s">
        <v>347</v>
      </c>
      <c r="K207" s="60" t="str">
        <f t="shared" si="17"/>
        <v>Accelerando by Charles Stross</v>
      </c>
    </row>
    <row r="208" outlineLevel="1">
      <c r="A208" s="30"/>
      <c r="B208" s="59" t="str">
        <f t="shared" si="16"/>
        <v>Act of War: Lyndon Johnson, North Korea, and the Capture of the Spy Ship Pueblo</v>
      </c>
      <c r="C208" s="32" t="s">
        <v>22</v>
      </c>
      <c r="D208" s="33"/>
      <c r="E208" s="33"/>
      <c r="F208" s="33" t="s">
        <v>51</v>
      </c>
      <c r="G208" s="36"/>
      <c r="H208" s="60" t="s">
        <v>348</v>
      </c>
      <c r="I208" s="36"/>
      <c r="J208" s="36" t="s">
        <v>349</v>
      </c>
      <c r="K208" s="60" t="str">
        <f t="shared" si="17"/>
        <v>Act of War: Lyndon Johnson, North Korea, and the Capture of the Spy Ship Pueblo by Jack Cheevers</v>
      </c>
    </row>
    <row r="209" outlineLevel="1">
      <c r="A209" s="30"/>
      <c r="B209" s="59" t="str">
        <f t="shared" si="16"/>
        <v>Adventures in the Screen Trade: A Personal View of Hollywood and the Screenwriting</v>
      </c>
      <c r="C209" s="32" t="s">
        <v>22</v>
      </c>
      <c r="D209" s="33"/>
      <c r="E209" s="33"/>
      <c r="F209" s="33" t="s">
        <v>51</v>
      </c>
      <c r="G209" s="36"/>
      <c r="H209" s="60" t="s">
        <v>350</v>
      </c>
      <c r="I209" s="36"/>
      <c r="J209" s="36" t="s">
        <v>351</v>
      </c>
      <c r="K209" s="60" t="str">
        <f t="shared" si="17"/>
        <v>Adventures in the Screen Trade: A Personal View of Hollywood and the Screenwriting by William Goldman</v>
      </c>
    </row>
    <row r="210" outlineLevel="1">
      <c r="A210" s="30"/>
      <c r="B210" s="59" t="str">
        <f t="shared" si="16"/>
        <v>After the Music Stopped: The Financial Crisis, the Response, and the Work Ahead</v>
      </c>
      <c r="C210" s="32" t="s">
        <v>22</v>
      </c>
      <c r="D210" s="33"/>
      <c r="E210" s="33"/>
      <c r="F210" s="33" t="s">
        <v>51</v>
      </c>
      <c r="G210" s="36"/>
      <c r="H210" s="60" t="s">
        <v>352</v>
      </c>
      <c r="I210" s="36"/>
      <c r="J210" s="36" t="s">
        <v>353</v>
      </c>
      <c r="K210" s="60" t="str">
        <f t="shared" si="17"/>
        <v>After the Music Stopped: The Financial Crisis, the Response, and the Work Ahead by Alan S. Blinder</v>
      </c>
    </row>
    <row r="211" outlineLevel="1">
      <c r="A211" s="30"/>
      <c r="B211" s="59" t="str">
        <f t="shared" si="16"/>
        <v>After Virtue: A Study in Moral Theory</v>
      </c>
      <c r="C211" s="32" t="s">
        <v>22</v>
      </c>
      <c r="D211" s="33"/>
      <c r="E211" s="33"/>
      <c r="F211" s="33" t="s">
        <v>51</v>
      </c>
      <c r="G211" s="36"/>
      <c r="H211" s="60" t="s">
        <v>354</v>
      </c>
      <c r="I211" s="36"/>
      <c r="J211" s="36" t="s">
        <v>355</v>
      </c>
      <c r="K211" s="60" t="str">
        <f t="shared" si="17"/>
        <v>After Virtue: A Study in Moral Theory by Alasdair MacIntyre</v>
      </c>
    </row>
    <row r="212" outlineLevel="1">
      <c r="A212" s="30"/>
      <c r="B212" s="59" t="str">
        <f t="shared" si="16"/>
        <v>Agency</v>
      </c>
      <c r="C212" s="32" t="s">
        <v>10</v>
      </c>
      <c r="D212" s="33"/>
      <c r="E212" s="33"/>
      <c r="F212" s="33" t="s">
        <v>51</v>
      </c>
      <c r="G212" s="36" t="s">
        <v>356</v>
      </c>
      <c r="H212" s="60" t="s">
        <v>357</v>
      </c>
      <c r="I212" s="36"/>
      <c r="J212" s="36" t="s">
        <v>358</v>
      </c>
      <c r="K212" s="60" t="str">
        <f t="shared" si="17"/>
        <v>Agency by William Gibson</v>
      </c>
    </row>
    <row r="213" outlineLevel="1">
      <c r="A213" s="30"/>
      <c r="B213" s="59" t="str">
        <f t="shared" si="16"/>
        <v>Aging as a Spiritual Practice: A Contemplative Guide to Growing Older and Wiser</v>
      </c>
      <c r="C213" s="32" t="s">
        <v>22</v>
      </c>
      <c r="D213" s="33"/>
      <c r="E213" s="33"/>
      <c r="F213" s="33" t="s">
        <v>51</v>
      </c>
      <c r="G213" s="36"/>
      <c r="H213" s="60" t="s">
        <v>359</v>
      </c>
      <c r="I213" s="36"/>
      <c r="J213" s="36" t="s">
        <v>360</v>
      </c>
      <c r="K213" s="60" t="str">
        <f t="shared" si="17"/>
        <v>Aging as a Spiritual Practice: A Contemplative Guide to Growing Older and Wiser by Lewis Richmond</v>
      </c>
    </row>
    <row r="214" outlineLevel="1">
      <c r="A214" s="30"/>
      <c r="B214" s="59" t="str">
        <f t="shared" si="16"/>
        <v>All Our Wrong Todays: A Novel</v>
      </c>
      <c r="C214" s="32" t="s">
        <v>10</v>
      </c>
      <c r="D214" s="33"/>
      <c r="E214" s="33"/>
      <c r="F214" s="33" t="s">
        <v>51</v>
      </c>
      <c r="G214" s="36"/>
      <c r="H214" s="60" t="s">
        <v>361</v>
      </c>
      <c r="I214" s="36"/>
      <c r="J214" s="36" t="s">
        <v>362</v>
      </c>
      <c r="K214" s="60" t="str">
        <f t="shared" si="17"/>
        <v>All Our Wrong Todays: A Novel by Elan Mastai</v>
      </c>
    </row>
    <row r="215" outlineLevel="1">
      <c r="A215" s="30"/>
      <c r="B215" s="59" t="str">
        <f t="shared" si="16"/>
        <v>All the King's Men</v>
      </c>
      <c r="C215" s="32" t="s">
        <v>10</v>
      </c>
      <c r="D215" s="33"/>
      <c r="E215" s="33"/>
      <c r="F215" s="33" t="s">
        <v>51</v>
      </c>
      <c r="G215" s="36"/>
      <c r="H215" s="60" t="s">
        <v>363</v>
      </c>
      <c r="I215" s="36"/>
      <c r="J215" s="36" t="s">
        <v>364</v>
      </c>
      <c r="K215" s="60" t="str">
        <f t="shared" si="17"/>
        <v>All the King's Men by Robert Penn Warren, Joseph Blotner</v>
      </c>
    </row>
    <row r="216" outlineLevel="1">
      <c r="A216" s="30"/>
      <c r="B216" s="59" t="str">
        <f t="shared" si="16"/>
        <v>All the Leader You Can Be: The Science of Achieving Extraordinary Executive Presence</v>
      </c>
      <c r="C216" s="32" t="s">
        <v>10</v>
      </c>
      <c r="D216" s="33"/>
      <c r="E216" s="33"/>
      <c r="F216" s="33" t="s">
        <v>51</v>
      </c>
      <c r="G216" s="36"/>
      <c r="H216" s="60" t="s">
        <v>365</v>
      </c>
      <c r="I216" s="36"/>
      <c r="J216" s="36" t="s">
        <v>366</v>
      </c>
      <c r="K216" s="60" t="str">
        <f t="shared" si="17"/>
        <v>All the Leader You Can Be: The Science of Achieving Extraordinary Executive Presence by Suzanne Bates</v>
      </c>
    </row>
    <row r="217" outlineLevel="1">
      <c r="A217" s="30"/>
      <c r="B217" s="59" t="str">
        <f t="shared" si="16"/>
        <v>All the Old Knives</v>
      </c>
      <c r="C217" s="32" t="s">
        <v>10</v>
      </c>
      <c r="D217" s="33"/>
      <c r="E217" s="33"/>
      <c r="F217" s="33" t="s">
        <v>51</v>
      </c>
      <c r="G217" s="36"/>
      <c r="H217" s="60" t="s">
        <v>367</v>
      </c>
      <c r="I217" s="36"/>
      <c r="J217" s="36" t="s">
        <v>368</v>
      </c>
      <c r="K217" s="60" t="str">
        <f t="shared" si="17"/>
        <v>All the Old Knives by Olen Steinhauer</v>
      </c>
    </row>
    <row r="218" outlineLevel="1">
      <c r="A218" s="30"/>
      <c r="B218" s="59" t="str">
        <f t="shared" si="16"/>
        <v>Altered Carbon</v>
      </c>
      <c r="C218" s="32" t="s">
        <v>10</v>
      </c>
      <c r="D218" s="33"/>
      <c r="E218" s="33"/>
      <c r="F218" s="33" t="s">
        <v>51</v>
      </c>
      <c r="G218" s="36"/>
      <c r="H218" s="60" t="s">
        <v>369</v>
      </c>
      <c r="I218" s="36"/>
      <c r="J218" s="36" t="s">
        <v>370</v>
      </c>
      <c r="K218" s="60" t="str">
        <f t="shared" si="17"/>
        <v>Altered Carbon by Richard K. Morgan</v>
      </c>
    </row>
    <row r="219" outlineLevel="1">
      <c r="A219" s="30"/>
      <c r="B219" s="59" t="str">
        <f t="shared" si="16"/>
        <v>America's War for the Greater Middle East: A Military History</v>
      </c>
      <c r="C219" s="32" t="s">
        <v>10</v>
      </c>
      <c r="D219" s="33"/>
      <c r="E219" s="33"/>
      <c r="F219" s="33" t="s">
        <v>51</v>
      </c>
      <c r="G219" s="36"/>
      <c r="H219" s="60" t="s">
        <v>371</v>
      </c>
      <c r="I219" s="36"/>
      <c r="J219" s="36" t="s">
        <v>372</v>
      </c>
      <c r="K219" s="60" t="str">
        <f t="shared" si="17"/>
        <v>America's War for the Greater Middle East: A Military History by Andrew J. Bacevich</v>
      </c>
    </row>
    <row r="220" outlineLevel="1">
      <c r="A220" s="30"/>
      <c r="B220" s="59" t="str">
        <f t="shared" si="16"/>
        <v>American Dirt: A Novel</v>
      </c>
      <c r="C220" s="32" t="s">
        <v>10</v>
      </c>
      <c r="D220" s="33"/>
      <c r="E220" s="33"/>
      <c r="F220" s="33" t="s">
        <v>51</v>
      </c>
      <c r="G220" s="36" t="s">
        <v>373</v>
      </c>
      <c r="H220" s="60" t="s">
        <v>374</v>
      </c>
      <c r="I220" s="36"/>
      <c r="J220" s="36" t="s">
        <v>375</v>
      </c>
      <c r="K220" s="60" t="str">
        <f t="shared" si="17"/>
        <v>American Dirt: A Novel by Jeanine Cummins</v>
      </c>
    </row>
    <row r="221" outlineLevel="1">
      <c r="A221" s="30"/>
      <c r="B221" s="59" t="str">
        <f t="shared" si="16"/>
        <v>American Icon: Alan Mulally and the Fight to Save Ford Motor Company</v>
      </c>
      <c r="C221" s="32" t="s">
        <v>22</v>
      </c>
      <c r="D221" s="33"/>
      <c r="E221" s="33"/>
      <c r="F221" s="33" t="s">
        <v>51</v>
      </c>
      <c r="G221" s="36"/>
      <c r="H221" s="60" t="s">
        <v>376</v>
      </c>
      <c r="I221" s="36"/>
      <c r="J221" s="36" t="s">
        <v>377</v>
      </c>
      <c r="K221" s="60" t="str">
        <f t="shared" si="17"/>
        <v>American Icon: Alan Mulally and the Fight to Save Ford Motor Company by Bryce G. Hoffman</v>
      </c>
    </row>
    <row r="222" outlineLevel="1">
      <c r="A222" s="30"/>
      <c r="B222" s="59" t="str">
        <f t="shared" si="16"/>
        <v>American Lion: Andrew Jackson in the White House</v>
      </c>
      <c r="C222" s="32" t="s">
        <v>10</v>
      </c>
      <c r="D222" s="33"/>
      <c r="E222" s="33"/>
      <c r="F222" s="33" t="s">
        <v>51</v>
      </c>
      <c r="G222" s="36"/>
      <c r="H222" s="60" t="s">
        <v>378</v>
      </c>
      <c r="I222" s="36"/>
      <c r="J222" s="36" t="s">
        <v>379</v>
      </c>
      <c r="K222" s="60" t="str">
        <f t="shared" si="17"/>
        <v>American Lion: Andrew Jackson in the White House by Jon Meacham</v>
      </c>
    </row>
    <row r="223" outlineLevel="1">
      <c r="A223" s="30"/>
      <c r="B223" s="59" t="str">
        <f t="shared" si="16"/>
        <v>American Original: The Life and Constitution of Supreme Court Justice Antonin Scalia</v>
      </c>
      <c r="C223" s="32" t="s">
        <v>22</v>
      </c>
      <c r="D223" s="33"/>
      <c r="E223" s="33"/>
      <c r="F223" s="33" t="s">
        <v>51</v>
      </c>
      <c r="G223" s="36"/>
      <c r="H223" s="60" t="s">
        <v>380</v>
      </c>
      <c r="I223" s="36"/>
      <c r="J223" s="36" t="s">
        <v>381</v>
      </c>
      <c r="K223" s="60" t="str">
        <f t="shared" si="17"/>
        <v>American Original: The Life and Constitution of Supreme Court Justice Antonin Scalia by Joan Biskupic</v>
      </c>
    </row>
    <row r="224" outlineLevel="1">
      <c r="A224" s="30"/>
      <c r="B224" s="59" t="str">
        <f t="shared" si="16"/>
        <v>American Prometheus</v>
      </c>
      <c r="C224" s="32" t="s">
        <v>22</v>
      </c>
      <c r="D224" s="33"/>
      <c r="E224" s="33"/>
      <c r="F224" s="33" t="s">
        <v>51</v>
      </c>
      <c r="G224" s="36"/>
      <c r="H224" s="60" t="s">
        <v>382</v>
      </c>
      <c r="I224" s="36"/>
      <c r="J224" s="36" t="s">
        <v>383</v>
      </c>
      <c r="K224" s="60" t="str">
        <f t="shared" si="17"/>
        <v>American Prometheus by Kai Bird, Martin J. Sherwin</v>
      </c>
    </row>
    <row r="225" outlineLevel="1">
      <c r="A225" s="30"/>
      <c r="B225" s="59" t="str">
        <f t="shared" si="16"/>
        <v>Americanah: A novel</v>
      </c>
      <c r="C225" s="32" t="s">
        <v>10</v>
      </c>
      <c r="D225" s="33"/>
      <c r="E225" s="33"/>
      <c r="F225" s="33" t="s">
        <v>51</v>
      </c>
      <c r="G225" s="36"/>
      <c r="H225" s="60" t="s">
        <v>384</v>
      </c>
      <c r="I225" s="36"/>
      <c r="J225" s="36" t="s">
        <v>385</v>
      </c>
      <c r="K225" s="60" t="str">
        <f t="shared" si="17"/>
        <v>Americanah: A novel by Chimamanda Ngozi Adichie</v>
      </c>
    </row>
    <row r="226" outlineLevel="1">
      <c r="A226" s="30"/>
      <c r="B226" s="59" t="str">
        <f t="shared" si="16"/>
        <v>An Officer and a Spy: A novel</v>
      </c>
      <c r="C226" s="32" t="s">
        <v>10</v>
      </c>
      <c r="D226" s="33"/>
      <c r="E226" s="33"/>
      <c r="F226" s="33" t="s">
        <v>51</v>
      </c>
      <c r="G226" s="36"/>
      <c r="H226" s="60" t="s">
        <v>386</v>
      </c>
      <c r="I226" s="36"/>
      <c r="J226" s="36" t="s">
        <v>387</v>
      </c>
      <c r="K226" s="60" t="str">
        <f t="shared" si="17"/>
        <v>An Officer and a Spy: A novel by Robert Harris</v>
      </c>
    </row>
    <row r="227" outlineLevel="1">
      <c r="A227" s="30"/>
      <c r="B227" s="59" t="str">
        <f t="shared" si="16"/>
        <v>An Unfinished Love Story: A Personal History of the 1960s</v>
      </c>
      <c r="C227" s="32" t="s">
        <v>22</v>
      </c>
      <c r="D227" s="33"/>
      <c r="E227" s="33"/>
      <c r="F227" s="33" t="s">
        <v>51</v>
      </c>
      <c r="G227" s="36"/>
      <c r="H227" s="60" t="s">
        <v>388</v>
      </c>
      <c r="I227" s="36"/>
      <c r="J227" s="36" t="s">
        <v>389</v>
      </c>
      <c r="K227" s="60" t="str">
        <f t="shared" si="17"/>
        <v>An Unfinished Love Story: A Personal History of the 1960s by Doris Kearns Goodwin</v>
      </c>
    </row>
    <row r="228" outlineLevel="1">
      <c r="A228" s="30"/>
      <c r="B228" s="59" t="str">
        <f t="shared" si="16"/>
        <v>Anatomy of the Spirit: The Seven Stages of Power and Healing</v>
      </c>
      <c r="C228" s="32" t="s">
        <v>22</v>
      </c>
      <c r="D228" s="33"/>
      <c r="E228" s="33"/>
      <c r="F228" s="33" t="s">
        <v>51</v>
      </c>
      <c r="G228" s="36"/>
      <c r="H228" s="60" t="s">
        <v>390</v>
      </c>
      <c r="I228" s="36"/>
      <c r="J228" s="36" t="s">
        <v>391</v>
      </c>
      <c r="K228" s="60" t="str">
        <f t="shared" si="17"/>
        <v>Anatomy of the Spirit: The Seven Stages of Power and Healing by Caroline Myss</v>
      </c>
    </row>
    <row r="229" outlineLevel="1">
      <c r="A229" s="30"/>
      <c r="B229" s="59" t="str">
        <f t="shared" si="16"/>
        <v>And How Are You, Dr. Sacks?: A Biographical Memoir of Oliver Sacks</v>
      </c>
      <c r="C229" s="32" t="s">
        <v>10</v>
      </c>
      <c r="D229" s="33"/>
      <c r="E229" s="33"/>
      <c r="F229" s="33" t="s">
        <v>51</v>
      </c>
      <c r="G229" s="36"/>
      <c r="H229" s="60" t="s">
        <v>392</v>
      </c>
      <c r="I229" s="36"/>
      <c r="J229" s="36" t="s">
        <v>393</v>
      </c>
      <c r="K229" s="60" t="str">
        <f t="shared" si="17"/>
        <v>And How Are You, Dr. Sacks?: A Biographical Memoir of Oliver Sacks by Lawrence Weschler</v>
      </c>
    </row>
    <row r="230" outlineLevel="1">
      <c r="A230" s="30"/>
      <c r="B230" s="59" t="str">
        <f t="shared" si="16"/>
        <v>And the Mountains Echoed</v>
      </c>
      <c r="C230" s="32" t="s">
        <v>10</v>
      </c>
      <c r="D230" s="33"/>
      <c r="E230" s="33"/>
      <c r="F230" s="33" t="s">
        <v>51</v>
      </c>
      <c r="G230" s="36"/>
      <c r="H230" s="60" t="s">
        <v>394</v>
      </c>
      <c r="I230" s="36"/>
      <c r="J230" s="36" t="s">
        <v>395</v>
      </c>
      <c r="K230" s="60" t="str">
        <f t="shared" si="17"/>
        <v>And the Mountains Echoed by Khaled Hosseini</v>
      </c>
    </row>
    <row r="231" outlineLevel="1">
      <c r="A231" s="30"/>
      <c r="B231" s="59" t="str">
        <f t="shared" si="16"/>
        <v>And Then All Hell Broke Loose: Two Decades in the Middle East</v>
      </c>
      <c r="C231" s="32" t="s">
        <v>10</v>
      </c>
      <c r="D231" s="33"/>
      <c r="E231" s="33"/>
      <c r="F231" s="33" t="s">
        <v>51</v>
      </c>
      <c r="G231" s="36"/>
      <c r="H231" s="60" t="s">
        <v>396</v>
      </c>
      <c r="I231" s="36"/>
      <c r="J231" s="36" t="s">
        <v>397</v>
      </c>
      <c r="K231" s="60" t="str">
        <f t="shared" si="17"/>
        <v>And Then All Hell Broke Loose: Two Decades in the Middle East by Richard Engel</v>
      </c>
    </row>
    <row r="232" outlineLevel="1">
      <c r="A232" s="30"/>
      <c r="B232" s="59" t="str">
        <f t="shared" si="16"/>
        <v>And When She Was Good: A Novel</v>
      </c>
      <c r="C232" s="32" t="s">
        <v>10</v>
      </c>
      <c r="D232" s="33"/>
      <c r="E232" s="33"/>
      <c r="F232" s="33" t="s">
        <v>51</v>
      </c>
      <c r="G232" s="36"/>
      <c r="H232" s="60" t="s">
        <v>398</v>
      </c>
      <c r="I232" s="36"/>
      <c r="J232" s="36" t="s">
        <v>399</v>
      </c>
      <c r="K232" s="60" t="str">
        <f t="shared" si="17"/>
        <v>And When She Was Good: A Novel by Laura Lippman</v>
      </c>
    </row>
    <row r="233" outlineLevel="1">
      <c r="A233" s="30"/>
      <c r="B233" s="59" t="str">
        <f t="shared" si="16"/>
        <v>Andrew Wyeth: A Secret Life</v>
      </c>
      <c r="C233" s="32" t="s">
        <v>10</v>
      </c>
      <c r="D233" s="33"/>
      <c r="E233" s="33"/>
      <c r="F233" s="33" t="s">
        <v>51</v>
      </c>
      <c r="G233" s="36"/>
      <c r="H233" s="60" t="s">
        <v>400</v>
      </c>
      <c r="I233" s="36"/>
      <c r="J233" s="36" t="s">
        <v>401</v>
      </c>
      <c r="K233" s="60" t="str">
        <f t="shared" si="17"/>
        <v>Andrew Wyeth: A Secret Life by Richard Meryman</v>
      </c>
    </row>
    <row r="234" outlineLevel="1">
      <c r="A234" s="30"/>
      <c r="B234" s="59" t="str">
        <f t="shared" si="16"/>
        <v>Angle of Repose</v>
      </c>
      <c r="C234" s="32" t="s">
        <v>10</v>
      </c>
      <c r="D234" s="33"/>
      <c r="E234" s="33"/>
      <c r="F234" s="33" t="s">
        <v>51</v>
      </c>
      <c r="G234" s="36"/>
      <c r="H234" s="60" t="s">
        <v>402</v>
      </c>
      <c r="I234" s="36"/>
      <c r="J234" s="36" t="s">
        <v>403</v>
      </c>
      <c r="K234" s="60" t="str">
        <f t="shared" si="17"/>
        <v>Angle of Repose by Wallace Stegner, Jackson J. Benson</v>
      </c>
    </row>
    <row r="235" outlineLevel="1">
      <c r="A235" s="30"/>
      <c r="B235" s="59" t="str">
        <f t="shared" si="16"/>
        <v>Annie Bot: A Novel</v>
      </c>
      <c r="C235" s="32" t="s">
        <v>10</v>
      </c>
      <c r="D235" s="33"/>
      <c r="E235" s="33"/>
      <c r="F235" s="33" t="s">
        <v>51</v>
      </c>
      <c r="G235" s="36"/>
      <c r="H235" s="60" t="s">
        <v>404</v>
      </c>
      <c r="I235" s="36"/>
      <c r="J235" s="36" t="s">
        <v>405</v>
      </c>
      <c r="K235" s="60" t="str">
        <f t="shared" si="17"/>
        <v>Annie Bot: A Novel by Jennifer Jill Araya, Sierra Greer</v>
      </c>
    </row>
    <row r="236" outlineLevel="1">
      <c r="A236" s="30"/>
      <c r="B236" s="59" t="str">
        <f t="shared" si="16"/>
        <v>Ansel Adams: The Camera</v>
      </c>
      <c r="C236" s="32" t="s">
        <v>22</v>
      </c>
      <c r="D236" s="33"/>
      <c r="E236" s="33"/>
      <c r="F236" s="33" t="s">
        <v>51</v>
      </c>
      <c r="G236" s="36"/>
      <c r="H236" s="60" t="s">
        <v>406</v>
      </c>
      <c r="I236" s="36"/>
      <c r="J236" s="36" t="s">
        <v>407</v>
      </c>
      <c r="K236" s="60" t="str">
        <f t="shared" si="17"/>
        <v>Ansel Adams: The Camera by Ansel Adams, Robert Baker</v>
      </c>
    </row>
    <row r="237" outlineLevel="1">
      <c r="A237" s="30"/>
      <c r="B237" s="59" t="str">
        <f t="shared" si="16"/>
        <v>Any Human Heart</v>
      </c>
      <c r="C237" s="32" t="s">
        <v>10</v>
      </c>
      <c r="D237" s="33"/>
      <c r="E237" s="33"/>
      <c r="F237" s="33" t="s">
        <v>51</v>
      </c>
      <c r="G237" s="36"/>
      <c r="H237" s="60" t="s">
        <v>408</v>
      </c>
      <c r="I237" s="36"/>
      <c r="J237" s="36" t="s">
        <v>409</v>
      </c>
      <c r="K237" s="60" t="str">
        <f t="shared" si="17"/>
        <v>Any Human Heart by William Boyd</v>
      </c>
    </row>
    <row r="238" outlineLevel="1">
      <c r="A238" s="30"/>
      <c r="B238" s="59" t="str">
        <f t="shared" si="16"/>
        <v>April 1865: The Month That Saved America (P.S.)</v>
      </c>
      <c r="C238" s="32" t="s">
        <v>22</v>
      </c>
      <c r="D238" s="33"/>
      <c r="E238" s="33"/>
      <c r="F238" s="33" t="s">
        <v>51</v>
      </c>
      <c r="G238" s="36"/>
      <c r="H238" s="60" t="s">
        <v>410</v>
      </c>
      <c r="I238" s="36"/>
      <c r="J238" s="36" t="s">
        <v>411</v>
      </c>
      <c r="K238" s="60" t="str">
        <f t="shared" si="17"/>
        <v>April 1865: The Month That Saved America (P.S.) by Jay Winik</v>
      </c>
    </row>
    <row r="239" outlineLevel="1">
      <c r="A239" s="30"/>
      <c r="B239" s="59" t="str">
        <f t="shared" si="16"/>
        <v>Arcadia: A novel</v>
      </c>
      <c r="C239" s="32" t="s">
        <v>10</v>
      </c>
      <c r="D239" s="33"/>
      <c r="E239" s="33"/>
      <c r="F239" s="33" t="s">
        <v>51</v>
      </c>
      <c r="G239" s="36"/>
      <c r="H239" s="60" t="s">
        <v>412</v>
      </c>
      <c r="I239" s="36"/>
      <c r="J239" s="36" t="s">
        <v>413</v>
      </c>
      <c r="K239" s="60" t="str">
        <f t="shared" si="17"/>
        <v>Arcadia: A novel by Iain Pears</v>
      </c>
    </row>
    <row r="240" outlineLevel="1">
      <c r="A240" s="30"/>
      <c r="B240" s="59" t="str">
        <f t="shared" si="16"/>
        <v>Arctic Dreams: National Book Award Winner</v>
      </c>
      <c r="C240" s="32" t="s">
        <v>22</v>
      </c>
      <c r="D240" s="33"/>
      <c r="E240" s="33"/>
      <c r="F240" s="33" t="s">
        <v>51</v>
      </c>
      <c r="G240" s="36"/>
      <c r="H240" s="60" t="s">
        <v>414</v>
      </c>
      <c r="I240" s="36"/>
      <c r="J240" s="36" t="s">
        <v>415</v>
      </c>
      <c r="K240" s="60" t="str">
        <f t="shared" si="17"/>
        <v>Arctic Dreams: National Book Award Winner by Barry Lopez</v>
      </c>
    </row>
    <row r="241" outlineLevel="1">
      <c r="A241" s="30"/>
      <c r="B241" s="59" t="str">
        <f t="shared" si="16"/>
        <v>Ardennes 1944: The Battle of the Bulge</v>
      </c>
      <c r="C241" s="32" t="s">
        <v>10</v>
      </c>
      <c r="D241" s="33"/>
      <c r="E241" s="33"/>
      <c r="F241" s="33" t="s">
        <v>51</v>
      </c>
      <c r="G241" s="36"/>
      <c r="H241" s="60" t="s">
        <v>416</v>
      </c>
      <c r="I241" s="36"/>
      <c r="J241" s="36" t="s">
        <v>417</v>
      </c>
      <c r="K241" s="60" t="str">
        <f t="shared" si="17"/>
        <v>Ardennes 1944: The Battle of the Bulge by Antony Beevor</v>
      </c>
    </row>
    <row r="242" outlineLevel="1">
      <c r="A242" s="30"/>
      <c r="B242" s="59" t="str">
        <f t="shared" si="16"/>
        <v>Art &amp; Energy: How Culture Changes</v>
      </c>
      <c r="C242" s="32" t="s">
        <v>22</v>
      </c>
      <c r="D242" s="33"/>
      <c r="E242" s="33"/>
      <c r="F242" s="33" t="s">
        <v>51</v>
      </c>
      <c r="G242" s="36"/>
      <c r="H242" s="60" t="s">
        <v>418</v>
      </c>
      <c r="I242" s="36"/>
      <c r="J242" s="36" t="s">
        <v>419</v>
      </c>
      <c r="K242" s="60" t="str">
        <f t="shared" si="17"/>
        <v>Art &amp; Energy: How Culture Changes by Barry Lord</v>
      </c>
    </row>
    <row r="243" outlineLevel="1">
      <c r="A243" s="30"/>
      <c r="B243" s="59" t="str">
        <f t="shared" si="16"/>
        <v>Art &amp; Fear: Observations On the Perils (and Rewards) of Artmaking</v>
      </c>
      <c r="C243" s="32" t="s">
        <v>22</v>
      </c>
      <c r="D243" s="33"/>
      <c r="E243" s="33"/>
      <c r="F243" s="33" t="s">
        <v>51</v>
      </c>
      <c r="G243" s="36"/>
      <c r="H243" s="60" t="s">
        <v>420</v>
      </c>
      <c r="I243" s="36"/>
      <c r="J243" s="36" t="s">
        <v>421</v>
      </c>
      <c r="K243" s="60" t="str">
        <f t="shared" si="17"/>
        <v>Art &amp; Fear: Observations On the Perils (and Rewards) of Artmaking by David Bayles, Ted Orland</v>
      </c>
    </row>
    <row r="244" outlineLevel="1">
      <c r="A244" s="30"/>
      <c r="B244" s="59" t="str">
        <f t="shared" si="16"/>
        <v>Artemis: A Novel</v>
      </c>
      <c r="C244" s="32" t="s">
        <v>10</v>
      </c>
      <c r="D244" s="33"/>
      <c r="E244" s="33"/>
      <c r="F244" s="33" t="s">
        <v>51</v>
      </c>
      <c r="G244" s="36"/>
      <c r="H244" s="60" t="s">
        <v>422</v>
      </c>
      <c r="I244" s="36"/>
      <c r="J244" s="36" t="s">
        <v>423</v>
      </c>
      <c r="K244" s="60" t="str">
        <f t="shared" si="17"/>
        <v>Artemis: A Novel by Andy Weir</v>
      </c>
    </row>
    <row r="245" outlineLevel="1">
      <c r="A245" s="30"/>
      <c r="B245" s="59" t="str">
        <f t="shared" si="16"/>
        <v>Artifact Space</v>
      </c>
      <c r="C245" s="32" t="s">
        <v>10</v>
      </c>
      <c r="D245" s="33"/>
      <c r="E245" s="33"/>
      <c r="F245" s="33" t="s">
        <v>51</v>
      </c>
      <c r="G245" s="36"/>
      <c r="H245" s="60" t="s">
        <v>424</v>
      </c>
      <c r="I245" s="36"/>
      <c r="J245" s="36" t="s">
        <v>425</v>
      </c>
      <c r="K245" s="60" t="str">
        <f t="shared" si="17"/>
        <v>Artifact Space by Arcana Imperii</v>
      </c>
    </row>
    <row r="246" outlineLevel="1">
      <c r="A246" s="30"/>
      <c r="B246" s="59" t="str">
        <f t="shared" si="16"/>
        <v>Artificial Unintelligence: How Computers Misunderstand the World (Mit Press)</v>
      </c>
      <c r="C246" s="32" t="s">
        <v>10</v>
      </c>
      <c r="D246" s="33"/>
      <c r="E246" s="33"/>
      <c r="F246" s="33" t="s">
        <v>51</v>
      </c>
      <c r="G246" s="36"/>
      <c r="H246" s="60" t="s">
        <v>426</v>
      </c>
      <c r="I246" s="36"/>
      <c r="J246" s="36" t="s">
        <v>427</v>
      </c>
      <c r="K246" s="60" t="str">
        <f t="shared" si="17"/>
        <v>Artificial Unintelligence: How Computers Misunderstand the World (Mit Press) by Meredith Broussard</v>
      </c>
    </row>
    <row r="247" outlineLevel="1">
      <c r="A247" s="30"/>
      <c r="B247" s="59" t="str">
        <f t="shared" si="16"/>
        <v>As Close to Us as Breathing: A Novel</v>
      </c>
      <c r="C247" s="32" t="s">
        <v>10</v>
      </c>
      <c r="D247" s="33"/>
      <c r="E247" s="33"/>
      <c r="F247" s="33" t="s">
        <v>51</v>
      </c>
      <c r="G247" s="36"/>
      <c r="H247" s="60" t="s">
        <v>428</v>
      </c>
      <c r="I247" s="36"/>
      <c r="J247" s="36" t="s">
        <v>429</v>
      </c>
      <c r="K247" s="60" t="str">
        <f t="shared" si="17"/>
        <v>As Close to Us as Breathing: A Novel by Elizabeth Poliner</v>
      </c>
    </row>
    <row r="248" outlineLevel="1">
      <c r="A248" s="30"/>
      <c r="B248" s="59" t="str">
        <f t="shared" si="16"/>
        <v>Asia's Cauldron: The South China Sea and the End of a Stable Pacific</v>
      </c>
      <c r="C248" s="32" t="s">
        <v>10</v>
      </c>
      <c r="D248" s="33"/>
      <c r="E248" s="33"/>
      <c r="F248" s="33" t="s">
        <v>51</v>
      </c>
      <c r="G248" s="36"/>
      <c r="H248" s="60" t="s">
        <v>430</v>
      </c>
      <c r="I248" s="36"/>
      <c r="J248" s="36" t="s">
        <v>431</v>
      </c>
      <c r="K248" s="60" t="str">
        <f t="shared" si="17"/>
        <v>Asia's Cauldron: The South China Sea and the End of a Stable Pacific by Robert D. Kaplan</v>
      </c>
    </row>
    <row r="249" outlineLevel="1">
      <c r="A249" s="30"/>
      <c r="B249" s="59" t="str">
        <f t="shared" si="16"/>
        <v>Ask and It Is Given: Learning to Manifest Your Desires</v>
      </c>
      <c r="C249" s="32" t="s">
        <v>22</v>
      </c>
      <c r="D249" s="33"/>
      <c r="E249" s="33"/>
      <c r="F249" s="33" t="s">
        <v>51</v>
      </c>
      <c r="G249" s="36"/>
      <c r="H249" s="60" t="s">
        <v>432</v>
      </c>
      <c r="I249" s="36"/>
      <c r="J249" s="36" t="s">
        <v>433</v>
      </c>
      <c r="K249" s="60" t="str">
        <f t="shared" si="17"/>
        <v>Ask and It Is Given: Learning to Manifest Your Desires by Esther Hicks, Jerry Hicks</v>
      </c>
    </row>
    <row r="250" outlineLevel="1">
      <c r="A250" s="30"/>
      <c r="B250" s="59" t="str">
        <f t="shared" si="16"/>
        <v>Astrophysics for People in a Hurry</v>
      </c>
      <c r="C250" s="32" t="s">
        <v>22</v>
      </c>
      <c r="D250" s="33"/>
      <c r="E250" s="33"/>
      <c r="F250" s="33" t="s">
        <v>51</v>
      </c>
      <c r="G250" s="36"/>
      <c r="H250" s="60" t="s">
        <v>434</v>
      </c>
      <c r="I250" s="36"/>
      <c r="J250" s="36" t="s">
        <v>435</v>
      </c>
      <c r="K250" s="60" t="str">
        <f t="shared" si="17"/>
        <v>Astrophysics for People in a Hurry by Neil de Grasse Tyson</v>
      </c>
    </row>
    <row r="251" outlineLevel="1">
      <c r="A251" s="30"/>
      <c r="B251" s="59" t="str">
        <f t="shared" si="16"/>
        <v>At Home: A Short History of Private Life</v>
      </c>
      <c r="C251" s="32" t="s">
        <v>10</v>
      </c>
      <c r="D251" s="33"/>
      <c r="E251" s="33"/>
      <c r="F251" s="33" t="s">
        <v>51</v>
      </c>
      <c r="G251" s="36"/>
      <c r="H251" s="60" t="s">
        <v>325</v>
      </c>
      <c r="I251" s="36"/>
      <c r="J251" s="36" t="s">
        <v>436</v>
      </c>
      <c r="K251" s="60" t="str">
        <f t="shared" si="17"/>
        <v>At Home: A Short History of Private Life by Bill Bryson</v>
      </c>
    </row>
    <row r="252" outlineLevel="1">
      <c r="A252" s="30"/>
      <c r="B252" s="59" t="str">
        <f t="shared" si="16"/>
        <v>At the Existentialist Café: Freedom, Being, and Apricot Cocktails with Jean-Paul Sartre, Simone de Beauvoir, Albert Camus, Martin Heidegger, Maurice Merleau-Ponty and Others</v>
      </c>
      <c r="C252" s="32" t="s">
        <v>10</v>
      </c>
      <c r="D252" s="33"/>
      <c r="E252" s="33"/>
      <c r="F252" s="33" t="s">
        <v>51</v>
      </c>
      <c r="G252" s="36"/>
      <c r="H252" s="60" t="s">
        <v>437</v>
      </c>
      <c r="I252" s="36"/>
      <c r="J252" s="36" t="s">
        <v>438</v>
      </c>
      <c r="K252" s="60" t="str">
        <f t="shared" si="17"/>
        <v>At the Existentialist Café: Freedom, Being, and Apricot Cocktails with Jean-Paul Sartre, Simone de Beauvoir, Albert Camus, Martin Heidegger, Maurice Merleau-Ponty and Others by Sarah Bakewell</v>
      </c>
    </row>
    <row r="253" outlineLevel="1">
      <c r="A253" s="30"/>
      <c r="B253" s="59" t="str">
        <f t="shared" si="16"/>
        <v>Autumn: A Novel (Seasonal Quartet)</v>
      </c>
      <c r="C253" s="32" t="s">
        <v>10</v>
      </c>
      <c r="D253" s="33"/>
      <c r="E253" s="33"/>
      <c r="F253" s="33" t="s">
        <v>51</v>
      </c>
      <c r="G253" s="36"/>
      <c r="H253" s="60" t="s">
        <v>439</v>
      </c>
      <c r="I253" s="36"/>
      <c r="J253" s="36" t="s">
        <v>440</v>
      </c>
      <c r="K253" s="60" t="str">
        <f t="shared" si="17"/>
        <v>Autumn: A Novel (Seasonal Quartet) by Ali Smith</v>
      </c>
    </row>
    <row r="254" outlineLevel="1">
      <c r="A254" s="30"/>
      <c r="B254" s="59" t="str">
        <f t="shared" si="16"/>
        <v>Avenue of Mysteries</v>
      </c>
      <c r="C254" s="32" t="s">
        <v>10</v>
      </c>
      <c r="D254" s="33"/>
      <c r="E254" s="33"/>
      <c r="F254" s="33" t="s">
        <v>51</v>
      </c>
      <c r="G254" s="36"/>
      <c r="H254" s="60" t="s">
        <v>441</v>
      </c>
      <c r="I254" s="36"/>
      <c r="J254" s="36" t="s">
        <v>442</v>
      </c>
      <c r="K254" s="60" t="str">
        <f t="shared" si="17"/>
        <v>Avenue of Mysteries by John Irving</v>
      </c>
    </row>
    <row r="255" outlineLevel="1">
      <c r="A255" s="30"/>
      <c r="B255" s="59" t="str">
        <f t="shared" si="16"/>
        <v>Babel: Or the Necessity of Violence: An Arcane History of the Oxford Translators’ Revolution―An Historic Fantasy of Dark Academia, Perfect for Fans of Historical Fiction and Nineteenth Century England</v>
      </c>
      <c r="C255" s="32" t="s">
        <v>22</v>
      </c>
      <c r="D255" s="33"/>
      <c r="E255" s="33"/>
      <c r="F255" s="33" t="s">
        <v>51</v>
      </c>
      <c r="G255" s="36"/>
      <c r="H255" s="60" t="s">
        <v>443</v>
      </c>
      <c r="I255" s="36"/>
      <c r="J255" s="36" t="s">
        <v>444</v>
      </c>
      <c r="K255" s="60" t="str">
        <f t="shared" si="17"/>
        <v>Babel: Or the Necessity of Violence: An Arcane History of the Oxford Translators’ Revolution―An Historic Fantasy of Dark Academia, Perfect for Fans of Historical Fiction and Nineteenth Century England by R. F. Kuang</v>
      </c>
    </row>
    <row r="256" outlineLevel="1">
      <c r="A256" s="30"/>
      <c r="B256" s="59" t="str">
        <f t="shared" si="16"/>
        <v>Back Roads Northern &amp; Central Italy (Eyewitness Travel Back Roads)</v>
      </c>
      <c r="C256" s="32" t="s">
        <v>10</v>
      </c>
      <c r="D256" s="33"/>
      <c r="E256" s="33"/>
      <c r="F256" s="33" t="s">
        <v>51</v>
      </c>
      <c r="G256" s="36"/>
      <c r="H256" s="60" t="s">
        <v>445</v>
      </c>
      <c r="I256" s="36"/>
      <c r="J256" s="36" t="s">
        <v>446</v>
      </c>
      <c r="K256" s="60" t="str">
        <f t="shared" si="17"/>
        <v>Back Roads Northern &amp; Central Italy (Eyewitness Travel Back Roads) by DK Publishing</v>
      </c>
    </row>
    <row r="257" outlineLevel="1">
      <c r="A257" s="30"/>
      <c r="B257" s="59" t="str">
        <f t="shared" si="16"/>
        <v>Back to Blood</v>
      </c>
      <c r="C257" s="32" t="s">
        <v>10</v>
      </c>
      <c r="D257" s="33"/>
      <c r="E257" s="33"/>
      <c r="F257" s="33" t="s">
        <v>51</v>
      </c>
      <c r="G257" s="36"/>
      <c r="H257" s="60" t="s">
        <v>447</v>
      </c>
      <c r="I257" s="36"/>
      <c r="J257" s="36" t="s">
        <v>448</v>
      </c>
      <c r="K257" s="60" t="str">
        <f t="shared" si="17"/>
        <v>Back to Blood by Tom Wolfe</v>
      </c>
    </row>
    <row r="258" outlineLevel="1">
      <c r="A258" s="30"/>
      <c r="B258" s="59" t="str">
        <f t="shared" si="16"/>
        <v>Bear: A Novel</v>
      </c>
      <c r="C258" s="32" t="s">
        <v>10</v>
      </c>
      <c r="D258" s="33"/>
      <c r="E258" s="33"/>
      <c r="F258" s="33" t="s">
        <v>51</v>
      </c>
      <c r="G258" s="36"/>
      <c r="H258" s="60" t="s">
        <v>449</v>
      </c>
      <c r="I258" s="36"/>
      <c r="J258" s="36" t="s">
        <v>450</v>
      </c>
      <c r="K258" s="60" t="str">
        <f t="shared" si="17"/>
        <v>Bear: A Novel by Julia Phillips</v>
      </c>
    </row>
    <row r="259" outlineLevel="1">
      <c r="A259" s="30"/>
      <c r="B259" s="59" t="str">
        <f t="shared" si="16"/>
        <v>Beautiful Ruins: A Novel</v>
      </c>
      <c r="C259" s="32" t="s">
        <v>10</v>
      </c>
      <c r="D259" s="33"/>
      <c r="E259" s="33"/>
      <c r="F259" s="33" t="s">
        <v>51</v>
      </c>
      <c r="G259" s="36"/>
      <c r="H259" s="60" t="s">
        <v>451</v>
      </c>
      <c r="I259" s="36"/>
      <c r="J259" s="36" t="s">
        <v>452</v>
      </c>
      <c r="K259" s="60" t="str">
        <f t="shared" si="17"/>
        <v>Beautiful Ruins: A Novel by Jess Walter</v>
      </c>
    </row>
    <row r="260" outlineLevel="1">
      <c r="A260" s="30"/>
      <c r="B260" s="59" t="str">
        <f t="shared" si="16"/>
        <v>Before and After the Book Deal: A Writer's Guide to Finishing, Publishing, Promoting, and Surviving Your First Book</v>
      </c>
      <c r="C260" s="32" t="s">
        <v>10</v>
      </c>
      <c r="D260" s="33"/>
      <c r="E260" s="33"/>
      <c r="F260" s="33" t="s">
        <v>51</v>
      </c>
      <c r="G260" s="36"/>
      <c r="H260" s="60" t="s">
        <v>453</v>
      </c>
      <c r="I260" s="36"/>
      <c r="J260" s="36" t="s">
        <v>454</v>
      </c>
      <c r="K260" s="60" t="str">
        <f t="shared" si="17"/>
        <v>Before and After the Book Deal: A Writer's Guide to Finishing, Publishing, Promoting, and Surviving Your First Book by Courtney Maum</v>
      </c>
    </row>
    <row r="261" outlineLevel="1">
      <c r="A261" s="30"/>
      <c r="B261" s="59" t="str">
        <f t="shared" si="16"/>
        <v>Behind the Beautiful Forevers: Life, Death, and Hope in a Mumbai Undercity</v>
      </c>
      <c r="C261" s="32" t="s">
        <v>10</v>
      </c>
      <c r="D261" s="33"/>
      <c r="E261" s="33"/>
      <c r="F261" s="33" t="s">
        <v>51</v>
      </c>
      <c r="G261" s="36"/>
      <c r="H261" s="60" t="s">
        <v>455</v>
      </c>
      <c r="I261" s="36"/>
      <c r="J261" s="36" t="s">
        <v>456</v>
      </c>
      <c r="K261" s="60" t="str">
        <f t="shared" si="17"/>
        <v>Behind the Beautiful Forevers: Life, Death, and Hope in a Mumbai Undercity by Katherine Boo (Library Binding) |</v>
      </c>
    </row>
    <row r="262" outlineLevel="1">
      <c r="A262" s="30"/>
      <c r="B262" s="59" t="str">
        <f t="shared" si="16"/>
        <v>Being Mortal: Medicine and What Matters in the End</v>
      </c>
      <c r="C262" s="32" t="s">
        <v>22</v>
      </c>
      <c r="D262" s="33"/>
      <c r="E262" s="33"/>
      <c r="F262" s="33" t="s">
        <v>51</v>
      </c>
      <c r="G262" s="36"/>
      <c r="H262" s="60" t="s">
        <v>457</v>
      </c>
      <c r="I262" s="36"/>
      <c r="J262" s="36" t="s">
        <v>458</v>
      </c>
      <c r="K262" s="60" t="str">
        <f t="shared" si="17"/>
        <v>Being Mortal: Medicine and What Matters in the End by Atul Gawande</v>
      </c>
    </row>
    <row r="263" outlineLevel="1">
      <c r="A263" s="30"/>
      <c r="B263" s="59" t="str">
        <f t="shared" si="16"/>
        <v>Believing Is Seeing: Observations on the Mysteries of Photography</v>
      </c>
      <c r="C263" s="32" t="s">
        <v>10</v>
      </c>
      <c r="D263" s="33"/>
      <c r="E263" s="33"/>
      <c r="F263" s="33" t="s">
        <v>51</v>
      </c>
      <c r="G263" s="36"/>
      <c r="H263" s="60" t="s">
        <v>459</v>
      </c>
      <c r="I263" s="36"/>
      <c r="J263" s="36" t="s">
        <v>460</v>
      </c>
      <c r="K263" s="60" t="str">
        <f t="shared" si="17"/>
        <v>Believing Is Seeing: Observations on the Mysteries of Photography by Errol Morris</v>
      </c>
    </row>
    <row r="264" outlineLevel="1">
      <c r="A264" s="30"/>
      <c r="B264" s="59" t="str">
        <f t="shared" si="16"/>
        <v>Benjamin Franklin: An American Life</v>
      </c>
      <c r="C264" s="32" t="s">
        <v>22</v>
      </c>
      <c r="D264" s="33"/>
      <c r="E264" s="33"/>
      <c r="F264" s="33" t="s">
        <v>51</v>
      </c>
      <c r="G264" s="36"/>
      <c r="H264" s="60" t="s">
        <v>461</v>
      </c>
      <c r="I264" s="36"/>
      <c r="J264" s="36" t="s">
        <v>462</v>
      </c>
      <c r="K264" s="60" t="str">
        <f t="shared" si="17"/>
        <v>Benjamin Franklin: An American Life by Walter Isaacson</v>
      </c>
    </row>
    <row r="265" outlineLevel="1">
      <c r="A265" s="30"/>
      <c r="B265" s="59" t="str">
        <f t="shared" si="16"/>
        <v>Between the World and Me</v>
      </c>
      <c r="C265" s="32" t="s">
        <v>10</v>
      </c>
      <c r="D265" s="33"/>
      <c r="E265" s="33"/>
      <c r="F265" s="33" t="s">
        <v>51</v>
      </c>
      <c r="G265" s="36"/>
      <c r="H265" s="60" t="s">
        <v>463</v>
      </c>
      <c r="I265" s="36"/>
      <c r="J265" s="36" t="s">
        <v>464</v>
      </c>
      <c r="K265" s="60" t="str">
        <f t="shared" si="17"/>
        <v>Between the World and Me by Ta-Nehisi Coates</v>
      </c>
    </row>
    <row r="266" outlineLevel="1">
      <c r="A266" s="30"/>
      <c r="B266" s="59" t="str">
        <f t="shared" si="16"/>
        <v>Big Lies in a Small Town: A Novel</v>
      </c>
      <c r="C266" s="32" t="s">
        <v>10</v>
      </c>
      <c r="D266" s="33"/>
      <c r="E266" s="33"/>
      <c r="F266" s="33" t="s">
        <v>51</v>
      </c>
      <c r="G266" s="36"/>
      <c r="H266" s="60" t="s">
        <v>465</v>
      </c>
      <c r="I266" s="36"/>
      <c r="J266" s="36" t="s">
        <v>466</v>
      </c>
      <c r="K266" s="60" t="str">
        <f t="shared" si="17"/>
        <v>Big Lies in a Small Town: A Novel by Diane Chamberlain</v>
      </c>
    </row>
    <row r="267" outlineLevel="1">
      <c r="A267" s="30"/>
      <c r="B267" s="59" t="str">
        <f t="shared" si="16"/>
        <v>Bioinformatics for Beginners: Genes, Genomes, Molecular Evolution, Databases and Analytical Tools</v>
      </c>
      <c r="C267" s="32" t="s">
        <v>10</v>
      </c>
      <c r="D267" s="33"/>
      <c r="E267" s="33"/>
      <c r="F267" s="33" t="s">
        <v>51</v>
      </c>
      <c r="G267" s="36"/>
      <c r="H267" s="60" t="s">
        <v>467</v>
      </c>
      <c r="I267" s="36"/>
      <c r="J267" s="36" t="s">
        <v>468</v>
      </c>
      <c r="K267" s="60" t="str">
        <f t="shared" si="17"/>
        <v>Bioinformatics for Beginners: Genes, Genomes, Molecular Evolution, Databases and Analytical Tools by Supratim Choudhuri</v>
      </c>
    </row>
    <row r="268" outlineLevel="1">
      <c r="A268" s="30"/>
      <c r="B268" s="59" t="str">
        <f t="shared" si="16"/>
        <v>Biomimicry: Innovation Inspired by Nature</v>
      </c>
      <c r="C268" s="32" t="s">
        <v>22</v>
      </c>
      <c r="D268" s="33"/>
      <c r="E268" s="33"/>
      <c r="F268" s="33" t="s">
        <v>51</v>
      </c>
      <c r="G268" s="36"/>
      <c r="H268" s="60" t="s">
        <v>469</v>
      </c>
      <c r="I268" s="36"/>
      <c r="J268" s="36" t="s">
        <v>470</v>
      </c>
      <c r="K268" s="60" t="str">
        <f t="shared" si="17"/>
        <v>Biomimicry: Innovation Inspired by Nature by Janine M Benyus</v>
      </c>
    </row>
    <row r="269" outlineLevel="1">
      <c r="A269" s="30"/>
      <c r="B269" s="59" t="str">
        <f t="shared" si="16"/>
        <v>Birds Without Wings</v>
      </c>
      <c r="C269" s="32" t="s">
        <v>10</v>
      </c>
      <c r="D269" s="33"/>
      <c r="E269" s="33"/>
      <c r="F269" s="33" t="s">
        <v>51</v>
      </c>
      <c r="G269" s="36"/>
      <c r="H269" s="60" t="s">
        <v>471</v>
      </c>
      <c r="I269" s="36"/>
      <c r="J269" s="36" t="s">
        <v>472</v>
      </c>
      <c r="K269" s="60" t="str">
        <f t="shared" si="17"/>
        <v>Birds Without Wings by Louis de Bernieres</v>
      </c>
    </row>
    <row r="270" outlineLevel="1">
      <c r="A270" s="30"/>
      <c r="B270" s="59" t="str">
        <f t="shared" si="16"/>
        <v>Black Buck: A Novel</v>
      </c>
      <c r="C270" s="32" t="s">
        <v>10</v>
      </c>
      <c r="D270" s="33"/>
      <c r="E270" s="33"/>
      <c r="F270" s="33" t="s">
        <v>51</v>
      </c>
      <c r="G270" s="36"/>
      <c r="H270" s="60" t="s">
        <v>473</v>
      </c>
      <c r="I270" s="36"/>
      <c r="J270" s="36" t="s">
        <v>474</v>
      </c>
      <c r="K270" s="60" t="str">
        <f t="shared" si="17"/>
        <v>Black Buck: A Novel by Mateo Askaripour</v>
      </c>
    </row>
    <row r="271" outlineLevel="1">
      <c r="A271" s="30"/>
      <c r="B271" s="59" t="str">
        <f t="shared" si="16"/>
        <v>Black Edge: Inside Information, Dirty Money, and the Quest to Bring Down the Most Wanted Man on Wall Street</v>
      </c>
      <c r="C271" s="32" t="s">
        <v>10</v>
      </c>
      <c r="D271" s="33"/>
      <c r="E271" s="33"/>
      <c r="F271" s="33" t="s">
        <v>51</v>
      </c>
      <c r="G271" s="36"/>
      <c r="H271" s="60" t="s">
        <v>475</v>
      </c>
      <c r="I271" s="36"/>
      <c r="J271" s="36" t="s">
        <v>476</v>
      </c>
      <c r="K271" s="60" t="str">
        <f t="shared" si="17"/>
        <v>Black Edge: Inside Information, Dirty Money, and the Quest to Bring Down the Most Wanted Man on Wall Street by Sheelah Kolhatkar</v>
      </c>
    </row>
    <row r="272" outlineLevel="1">
      <c r="A272" s="30"/>
      <c r="B272" s="59" t="str">
        <f t="shared" si="16"/>
        <v>Black Mass: Whitey Bulger, the FBI, and a Devil's Deal</v>
      </c>
      <c r="C272" s="32" t="s">
        <v>10</v>
      </c>
      <c r="D272" s="33"/>
      <c r="E272" s="33"/>
      <c r="F272" s="33" t="s">
        <v>51</v>
      </c>
      <c r="G272" s="36"/>
      <c r="H272" s="60" t="s">
        <v>477</v>
      </c>
      <c r="I272" s="36"/>
      <c r="J272" s="36" t="s">
        <v>478</v>
      </c>
      <c r="K272" s="60" t="str">
        <f t="shared" si="17"/>
        <v>Black Mass: Whitey Bulger, the FBI, and a Devil's Deal by Dick Lehr, Gerard O'Neill</v>
      </c>
    </row>
    <row r="273" outlineLevel="1">
      <c r="A273" s="30"/>
      <c r="B273" s="59" t="str">
        <f t="shared" si="16"/>
        <v>Blasphemy: New and Selected Stories</v>
      </c>
      <c r="C273" s="32" t="s">
        <v>10</v>
      </c>
      <c r="D273" s="33"/>
      <c r="E273" s="33"/>
      <c r="F273" s="33" t="s">
        <v>51</v>
      </c>
      <c r="G273" s="36"/>
      <c r="H273" s="60" t="s">
        <v>479</v>
      </c>
      <c r="I273" s="36"/>
      <c r="J273" s="36" t="s">
        <v>480</v>
      </c>
      <c r="K273" s="60" t="str">
        <f t="shared" si="17"/>
        <v>Blasphemy: New and Selected Stories by Sherman Alexie</v>
      </c>
    </row>
    <row r="274" outlineLevel="1">
      <c r="A274" s="30"/>
      <c r="B274" s="59" t="str">
        <f t="shared" si="16"/>
        <v>Bleeding Edge</v>
      </c>
      <c r="C274" s="32" t="s">
        <v>10</v>
      </c>
      <c r="D274" s="33"/>
      <c r="E274" s="33"/>
      <c r="F274" s="33" t="s">
        <v>51</v>
      </c>
      <c r="G274" s="36"/>
      <c r="H274" s="60" t="s">
        <v>194</v>
      </c>
      <c r="I274" s="36"/>
      <c r="J274" s="36" t="s">
        <v>481</v>
      </c>
      <c r="K274" s="60" t="str">
        <f t="shared" si="17"/>
        <v>Bleeding Edge by Thomas Pynchon</v>
      </c>
    </row>
    <row r="275" outlineLevel="1">
      <c r="A275" s="30"/>
      <c r="B275" s="59" t="str">
        <f t="shared" si="16"/>
        <v>Blowback: A Warning to Save Democracy from Trump's Revenge</v>
      </c>
      <c r="C275" s="32" t="s">
        <v>22</v>
      </c>
      <c r="D275" s="33"/>
      <c r="E275" s="33"/>
      <c r="F275" s="33" t="s">
        <v>51</v>
      </c>
      <c r="G275" s="36"/>
      <c r="H275" s="60" t="s">
        <v>482</v>
      </c>
      <c r="I275" s="36"/>
      <c r="J275" s="36" t="s">
        <v>483</v>
      </c>
      <c r="K275" s="60" t="str">
        <f t="shared" si="17"/>
        <v>Blowback: A Warning to Save Democracy from Trump's Revenge by Miles Taylor</v>
      </c>
    </row>
    <row r="276" outlineLevel="1">
      <c r="A276" s="30"/>
      <c r="B276" s="59" t="str">
        <f t="shared" si="16"/>
        <v>Bottoms Up and the Devil Laughs: A Journey Through the Deep State</v>
      </c>
      <c r="C276" s="32" t="s">
        <v>22</v>
      </c>
      <c r="D276" s="33"/>
      <c r="E276" s="33"/>
      <c r="F276" s="33" t="s">
        <v>51</v>
      </c>
      <c r="G276" s="36"/>
      <c r="H276" s="60" t="s">
        <v>484</v>
      </c>
      <c r="I276" s="36"/>
      <c r="J276" s="36" t="s">
        <v>485</v>
      </c>
      <c r="K276" s="60" t="str">
        <f t="shared" si="17"/>
        <v>Bottoms Up and the Devil Laughs: A Journey Through the Deep State by Kerry Howley</v>
      </c>
    </row>
    <row r="277" outlineLevel="1">
      <c r="A277" s="30"/>
      <c r="B277" s="59" t="str">
        <f t="shared" si="16"/>
        <v>Bowling Alone: Revised and Updated: The Collapse and Revival of American Community</v>
      </c>
      <c r="C277" s="32" t="s">
        <v>22</v>
      </c>
      <c r="D277" s="33"/>
      <c r="E277" s="33"/>
      <c r="F277" s="33" t="s">
        <v>51</v>
      </c>
      <c r="G277" s="36"/>
      <c r="H277" s="60" t="s">
        <v>486</v>
      </c>
      <c r="I277" s="36"/>
      <c r="J277" s="36" t="s">
        <v>487</v>
      </c>
      <c r="K277" s="60" t="str">
        <f t="shared" si="17"/>
        <v>Bowling Alone: Revised and Updated: The Collapse and Revival of American Community by Arthur Morey, Robert D. Putnam</v>
      </c>
    </row>
    <row r="278" outlineLevel="1">
      <c r="A278" s="30"/>
      <c r="B278" s="59" t="str">
        <f t="shared" si="16"/>
        <v>Braiding Sweetgrass: Indigenous Wisdom, Scientific Knowledge and the Teachings of Plants</v>
      </c>
      <c r="C278" s="32" t="s">
        <v>22</v>
      </c>
      <c r="D278" s="33"/>
      <c r="E278" s="33"/>
      <c r="F278" s="33" t="s">
        <v>51</v>
      </c>
      <c r="G278" s="36"/>
      <c r="H278" s="60" t="s">
        <v>488</v>
      </c>
      <c r="I278" s="36"/>
      <c r="J278" s="36" t="s">
        <v>489</v>
      </c>
      <c r="K278" s="60" t="str">
        <f t="shared" si="17"/>
        <v>Braiding Sweetgrass: Indigenous Wisdom, Scientific Knowledge and the Teachings of Plants by Robin Wall Kimmerer</v>
      </c>
    </row>
    <row r="279" outlineLevel="1">
      <c r="A279" s="30"/>
      <c r="B279" s="59" t="str">
        <f t="shared" si="16"/>
        <v>Brave New World</v>
      </c>
      <c r="C279" s="32" t="s">
        <v>10</v>
      </c>
      <c r="D279" s="33"/>
      <c r="E279" s="33"/>
      <c r="F279" s="33" t="s">
        <v>51</v>
      </c>
      <c r="G279" s="36"/>
      <c r="H279" s="60" t="s">
        <v>490</v>
      </c>
      <c r="I279" s="36"/>
      <c r="J279" s="36" t="s">
        <v>491</v>
      </c>
      <c r="K279" s="60" t="str">
        <f t="shared" si="17"/>
        <v>Brave New World by Aldous Huxley</v>
      </c>
    </row>
    <row r="280" outlineLevel="1">
      <c r="A280" s="30"/>
      <c r="B280" s="59" t="str">
        <f t="shared" si="16"/>
        <v>Breakthrough</v>
      </c>
      <c r="C280" s="32" t="s">
        <v>10</v>
      </c>
      <c r="D280" s="33"/>
      <c r="E280" s="33"/>
      <c r="F280" s="33" t="s">
        <v>51</v>
      </c>
      <c r="G280" s="36"/>
      <c r="H280" s="60" t="s">
        <v>492</v>
      </c>
      <c r="I280" s="36"/>
      <c r="J280" s="36" t="s">
        <v>493</v>
      </c>
      <c r="K280" s="60" t="str">
        <f t="shared" si="17"/>
        <v>Breakthrough by Michael C. Grumley</v>
      </c>
    </row>
    <row r="281" outlineLevel="1">
      <c r="A281" s="30"/>
      <c r="B281" s="59" t="str">
        <f t="shared" si="16"/>
        <v>Breath: The New Science of a Lost Art</v>
      </c>
      <c r="C281" s="32" t="s">
        <v>22</v>
      </c>
      <c r="D281" s="33"/>
      <c r="E281" s="33"/>
      <c r="F281" s="33" t="s">
        <v>51</v>
      </c>
      <c r="G281" s="36"/>
      <c r="H281" s="60" t="s">
        <v>494</v>
      </c>
      <c r="I281" s="36"/>
      <c r="J281" s="36" t="s">
        <v>495</v>
      </c>
      <c r="K281" s="60" t="str">
        <f t="shared" si="17"/>
        <v>Breath: The New Science of a Lost Art by James Nestoraud</v>
      </c>
    </row>
    <row r="282" outlineLevel="1">
      <c r="A282" s="30"/>
      <c r="B282" s="59" t="str">
        <f t="shared" si="16"/>
        <v>Brida: From the Bestselling Author of The Alchemist</v>
      </c>
      <c r="C282" s="32" t="s">
        <v>10</v>
      </c>
      <c r="D282" s="33"/>
      <c r="E282" s="33"/>
      <c r="F282" s="33" t="s">
        <v>51</v>
      </c>
      <c r="G282" s="36"/>
      <c r="H282" s="60" t="s">
        <v>496</v>
      </c>
      <c r="I282" s="36"/>
      <c r="J282" s="36" t="s">
        <v>497</v>
      </c>
      <c r="K282" s="60" t="str">
        <f t="shared" si="17"/>
        <v>Brida: From the Bestselling Author of The Alchemist by Paulo Coelho</v>
      </c>
    </row>
    <row r="283" outlineLevel="1">
      <c r="A283" s="30"/>
      <c r="B283" s="59" t="str">
        <f t="shared" si="16"/>
        <v>Bridge of Birds: A Novel of an Ancient China That Never Was (The Chronicles of Master Li and Number Ten Ox)</v>
      </c>
      <c r="C283" s="32" t="s">
        <v>10</v>
      </c>
      <c r="D283" s="33"/>
      <c r="E283" s="33"/>
      <c r="F283" s="33" t="s">
        <v>51</v>
      </c>
      <c r="G283" s="36"/>
      <c r="H283" s="60" t="s">
        <v>498</v>
      </c>
      <c r="I283" s="36"/>
      <c r="J283" s="36" t="s">
        <v>499</v>
      </c>
      <c r="K283" s="60" t="str">
        <f t="shared" si="17"/>
        <v>Bridge of Birds: A Novel of an Ancient China That Never Was (The Chronicles of Master Li and Number Ten Ox) by Barry Hughart</v>
      </c>
    </row>
    <row r="284" outlineLevel="1">
      <c r="A284" s="30"/>
      <c r="B284" s="59" t="str">
        <f t="shared" si="16"/>
        <v>Brilliance</v>
      </c>
      <c r="C284" s="32" t="s">
        <v>10</v>
      </c>
      <c r="D284" s="33"/>
      <c r="E284" s="33"/>
      <c r="F284" s="33" t="s">
        <v>51</v>
      </c>
      <c r="G284" s="36" t="s">
        <v>500</v>
      </c>
      <c r="H284" s="60" t="s">
        <v>501</v>
      </c>
      <c r="I284" s="36"/>
      <c r="J284" s="36" t="s">
        <v>502</v>
      </c>
      <c r="K284" s="60" t="str">
        <f t="shared" si="17"/>
        <v>Brilliance by Marcus Sakey</v>
      </c>
    </row>
    <row r="285" outlineLevel="1">
      <c r="A285" s="30"/>
      <c r="B285" s="59" t="str">
        <f t="shared" si="16"/>
        <v>Brokers of Deceit: How the U.S. Has Undermined Peace in the Middle East</v>
      </c>
      <c r="C285" s="32" t="s">
        <v>10</v>
      </c>
      <c r="D285" s="33"/>
      <c r="E285" s="33"/>
      <c r="F285" s="33" t="s">
        <v>51</v>
      </c>
      <c r="G285" s="36"/>
      <c r="H285" s="60" t="s">
        <v>503</v>
      </c>
      <c r="I285" s="36"/>
      <c r="J285" s="36" t="s">
        <v>504</v>
      </c>
      <c r="K285" s="60" t="str">
        <f t="shared" si="17"/>
        <v>Brokers of Deceit: How the U.S. Has Undermined Peace in the Middle East by Rashid Khalidi</v>
      </c>
    </row>
    <row r="286" outlineLevel="1">
      <c r="A286" s="30"/>
      <c r="B286" s="59" t="str">
        <f t="shared" si="16"/>
        <v>Browsings</v>
      </c>
      <c r="C286" s="32" t="s">
        <v>10</v>
      </c>
      <c r="D286" s="33"/>
      <c r="E286" s="33"/>
      <c r="F286" s="33" t="s">
        <v>51</v>
      </c>
      <c r="G286" s="36"/>
      <c r="H286" s="60" t="s">
        <v>505</v>
      </c>
      <c r="I286" s="36"/>
      <c r="J286" s="36" t="s">
        <v>506</v>
      </c>
      <c r="K286" s="60" t="str">
        <f t="shared" si="17"/>
        <v>Browsings by Michael Dirda</v>
      </c>
    </row>
    <row r="287" outlineLevel="1">
      <c r="A287" s="30"/>
      <c r="B287" s="59" t="str">
        <f t="shared" si="16"/>
        <v>Buddha's Brain: The Practical Neuroscience of Happiness, Love, and Wisdom</v>
      </c>
      <c r="C287" s="32" t="s">
        <v>22</v>
      </c>
      <c r="D287" s="33"/>
      <c r="E287" s="33"/>
      <c r="F287" s="33" t="s">
        <v>51</v>
      </c>
      <c r="G287" s="36"/>
      <c r="H287" s="60" t="s">
        <v>507</v>
      </c>
      <c r="I287" s="36"/>
      <c r="J287" s="36" t="s">
        <v>508</v>
      </c>
      <c r="K287" s="60" t="str">
        <f t="shared" si="17"/>
        <v>Buddha's Brain: The Practical Neuroscience of Happiness, Love, and Wisdom by Rick Hanson, Richard Mendius</v>
      </c>
    </row>
    <row r="288" outlineLevel="1">
      <c r="A288" s="30"/>
      <c r="B288" s="59" t="str">
        <f t="shared" si="16"/>
        <v>Burial Rites: A Novel</v>
      </c>
      <c r="C288" s="32" t="s">
        <v>10</v>
      </c>
      <c r="D288" s="33"/>
      <c r="E288" s="33"/>
      <c r="F288" s="33" t="s">
        <v>51</v>
      </c>
      <c r="G288" s="36"/>
      <c r="H288" s="60" t="s">
        <v>509</v>
      </c>
      <c r="I288" s="36"/>
      <c r="J288" s="36" t="s">
        <v>510</v>
      </c>
      <c r="K288" s="60" t="str">
        <f t="shared" si="17"/>
        <v>Burial Rites: A Novel by Hannah Kent</v>
      </c>
    </row>
    <row r="289" outlineLevel="1">
      <c r="A289" s="30"/>
      <c r="B289" s="59" t="str">
        <f t="shared" si="16"/>
        <v>Burnout: The Secret to Unlocking the Stress Cycle</v>
      </c>
      <c r="C289" s="32" t="s">
        <v>22</v>
      </c>
      <c r="D289" s="33"/>
      <c r="E289" s="33"/>
      <c r="F289" s="33" t="s">
        <v>51</v>
      </c>
      <c r="G289" s="36"/>
      <c r="H289" s="60" t="s">
        <v>511</v>
      </c>
      <c r="I289" s="36"/>
      <c r="J289" s="36" t="s">
        <v>512</v>
      </c>
      <c r="K289" s="60" t="str">
        <f t="shared" si="17"/>
        <v>Burnout: The Secret to Unlocking the Stress Cycle by Emily Nagoski PhD, Amelia Nagoski DMA</v>
      </c>
    </row>
    <row r="290" outlineLevel="1">
      <c r="A290" s="30"/>
      <c r="B290" s="59" t="str">
        <f t="shared" si="16"/>
        <v>Capitalism and Freedom</v>
      </c>
      <c r="C290" s="32" t="s">
        <v>22</v>
      </c>
      <c r="D290" s="33"/>
      <c r="E290" s="33"/>
      <c r="F290" s="33" t="s">
        <v>51</v>
      </c>
      <c r="G290" s="36"/>
      <c r="H290" s="60" t="s">
        <v>513</v>
      </c>
      <c r="I290" s="36"/>
      <c r="J290" s="36" t="s">
        <v>514</v>
      </c>
      <c r="K290" s="60" t="str">
        <f t="shared" si="17"/>
        <v>Capitalism and Freedom by Milton Friedman, Binyamin Appelbaum</v>
      </c>
    </row>
    <row r="291" outlineLevel="1">
      <c r="A291" s="30"/>
      <c r="B291" s="59" t="str">
        <f t="shared" si="16"/>
        <v>Capitol Hill's Criminal Underground: The Most Thorough Exploration of Government Corruption Ever Put in Writing</v>
      </c>
      <c r="C291" s="32" t="s">
        <v>10</v>
      </c>
      <c r="D291" s="33"/>
      <c r="E291" s="33"/>
      <c r="F291" s="33" t="s">
        <v>51</v>
      </c>
      <c r="G291" s="36"/>
      <c r="H291" s="60" t="s">
        <v>515</v>
      </c>
      <c r="I291" s="36"/>
      <c r="J291" s="36" t="s">
        <v>516</v>
      </c>
      <c r="K291" s="60" t="str">
        <f t="shared" si="17"/>
        <v>Capitol Hill's Criminal Underground: The Most Thorough Exploration of Government Corruption Ever Put in Writing by Richard Lawless</v>
      </c>
    </row>
    <row r="292" outlineLevel="1">
      <c r="A292" s="30"/>
      <c r="B292" s="59" t="str">
        <f t="shared" si="16"/>
        <v>Care of the Soul, Twenty-fifth Anniversary Ed: A Guide for Cultivating Depth and Sacredness in Everyday Life</v>
      </c>
      <c r="C292" s="32" t="s">
        <v>22</v>
      </c>
      <c r="D292" s="33"/>
      <c r="E292" s="33"/>
      <c r="F292" s="33" t="s">
        <v>51</v>
      </c>
      <c r="G292" s="36"/>
      <c r="H292" s="60" t="s">
        <v>517</v>
      </c>
      <c r="I292" s="36"/>
      <c r="J292" s="36" t="s">
        <v>518</v>
      </c>
      <c r="K292" s="60" t="str">
        <f t="shared" si="17"/>
        <v>Care of the Soul, Twenty-fifth Anniversary Ed: A Guide for Cultivating Depth and Sacredness in Everyday Life by Charles Bice, Thomas Moore</v>
      </c>
    </row>
    <row r="293" outlineLevel="1">
      <c r="A293" s="30"/>
      <c r="B293" s="59" t="str">
        <f t="shared" si="16"/>
        <v>Carthage: A Novel</v>
      </c>
      <c r="C293" s="32" t="s">
        <v>10</v>
      </c>
      <c r="D293" s="33"/>
      <c r="E293" s="33"/>
      <c r="F293" s="33" t="s">
        <v>51</v>
      </c>
      <c r="G293" s="36"/>
      <c r="H293" s="60" t="s">
        <v>519</v>
      </c>
      <c r="I293" s="36"/>
      <c r="J293" s="36" t="s">
        <v>520</v>
      </c>
      <c r="K293" s="60" t="str">
        <f t="shared" si="17"/>
        <v>Carthage: A Novel by Joyce Carol Oates</v>
      </c>
    </row>
    <row r="294" outlineLevel="1">
      <c r="A294" s="30"/>
      <c r="B294" s="59" t="str">
        <f t="shared" si="16"/>
        <v>Champlain's Dream</v>
      </c>
      <c r="C294" s="32" t="s">
        <v>10</v>
      </c>
      <c r="D294" s="33"/>
      <c r="E294" s="33"/>
      <c r="F294" s="33" t="s">
        <v>51</v>
      </c>
      <c r="G294" s="36"/>
      <c r="H294" s="60" t="s">
        <v>521</v>
      </c>
      <c r="I294" s="36"/>
      <c r="J294" s="36" t="s">
        <v>522</v>
      </c>
      <c r="K294" s="60" t="str">
        <f t="shared" si="17"/>
        <v>Champlain's Dream by David Hackett Fischer</v>
      </c>
    </row>
    <row r="295" outlineLevel="1">
      <c r="A295" s="30"/>
      <c r="B295" s="59" t="str">
        <f t="shared" si="16"/>
        <v>Chasing Gideon: The Elusive Quest for Poor People's Justice</v>
      </c>
      <c r="C295" s="32" t="s">
        <v>10</v>
      </c>
      <c r="D295" s="33"/>
      <c r="E295" s="33"/>
      <c r="F295" s="33" t="s">
        <v>51</v>
      </c>
      <c r="G295" s="36"/>
      <c r="H295" s="60" t="s">
        <v>523</v>
      </c>
      <c r="I295" s="36"/>
      <c r="J295" s="36" t="s">
        <v>524</v>
      </c>
      <c r="K295" s="60" t="str">
        <f t="shared" si="17"/>
        <v>Chasing Gideon: The Elusive Quest for Poor People's Justice by Karen Houppert</v>
      </c>
    </row>
    <row r="296" outlineLevel="1">
      <c r="A296" s="30"/>
      <c r="B296" s="59" t="str">
        <f t="shared" si="16"/>
        <v>Child 44 (The Child 44 Trilogy, 1)</v>
      </c>
      <c r="C296" s="32" t="s">
        <v>10</v>
      </c>
      <c r="D296" s="33"/>
      <c r="E296" s="33"/>
      <c r="F296" s="33" t="s">
        <v>51</v>
      </c>
      <c r="G296" s="36"/>
      <c r="H296" s="60" t="s">
        <v>525</v>
      </c>
      <c r="I296" s="36"/>
      <c r="J296" s="36" t="s">
        <v>526</v>
      </c>
      <c r="K296" s="60" t="str">
        <f t="shared" si="17"/>
        <v>Child 44 (The Child 44 Trilogy, 1) by Tom Rob Smith</v>
      </c>
    </row>
    <row r="297" outlineLevel="1">
      <c r="A297" s="30"/>
      <c r="B297" s="59" t="str">
        <f t="shared" si="16"/>
        <v>Children of Time</v>
      </c>
      <c r="C297" s="32" t="s">
        <v>10</v>
      </c>
      <c r="D297" s="33"/>
      <c r="E297" s="33"/>
      <c r="F297" s="33" t="s">
        <v>51</v>
      </c>
      <c r="G297" s="36"/>
      <c r="H297" s="60" t="s">
        <v>527</v>
      </c>
      <c r="I297" s="36"/>
      <c r="J297" s="36" t="s">
        <v>528</v>
      </c>
      <c r="K297" s="60" t="str">
        <f t="shared" si="17"/>
        <v>Children of Time by Adrian Tchaikovsky</v>
      </c>
    </row>
    <row r="298" outlineLevel="1">
      <c r="A298" s="30"/>
      <c r="B298" s="59" t="str">
        <f t="shared" si="16"/>
        <v>Chip War: The Fight for the World's Most Critical Technology</v>
      </c>
      <c r="C298" s="32" t="s">
        <v>22</v>
      </c>
      <c r="D298" s="33"/>
      <c r="E298" s="33"/>
      <c r="F298" s="33" t="s">
        <v>51</v>
      </c>
      <c r="G298" s="36"/>
      <c r="H298" s="60" t="s">
        <v>529</v>
      </c>
      <c r="I298" s="36"/>
      <c r="J298" s="36" t="s">
        <v>530</v>
      </c>
      <c r="K298" s="60" t="str">
        <f t="shared" si="17"/>
        <v>Chip War: The Fight for the World's Most Critical Technology by Chris Miller</v>
      </c>
    </row>
    <row r="299" outlineLevel="1">
      <c r="A299" s="30"/>
      <c r="B299" s="59" t="str">
        <f t="shared" si="16"/>
        <v>Circe</v>
      </c>
      <c r="C299" s="32" t="s">
        <v>10</v>
      </c>
      <c r="D299" s="33"/>
      <c r="E299" s="33"/>
      <c r="F299" s="33" t="s">
        <v>51</v>
      </c>
      <c r="G299" s="36"/>
      <c r="H299" s="60" t="s">
        <v>66</v>
      </c>
      <c r="I299" s="36"/>
      <c r="J299" s="36" t="s">
        <v>531</v>
      </c>
      <c r="K299" s="60" t="str">
        <f t="shared" si="17"/>
        <v>Circe by Madeline Miller</v>
      </c>
    </row>
    <row r="300" outlineLevel="1">
      <c r="A300" s="30"/>
      <c r="B300" s="59" t="str">
        <f t="shared" si="16"/>
        <v>Close to Shore: The Terrifying Shark Attacks of 1916</v>
      </c>
      <c r="C300" s="32" t="s">
        <v>10</v>
      </c>
      <c r="D300" s="33"/>
      <c r="E300" s="33"/>
      <c r="F300" s="33" t="s">
        <v>51</v>
      </c>
      <c r="G300" s="36"/>
      <c r="H300" s="60" t="s">
        <v>532</v>
      </c>
      <c r="I300" s="36"/>
      <c r="J300" s="36" t="s">
        <v>533</v>
      </c>
      <c r="K300" s="60" t="str">
        <f t="shared" si="17"/>
        <v>Close to Shore: The Terrifying Shark Attacks of 1916 by Michael Capuzzo</v>
      </c>
    </row>
    <row r="301" outlineLevel="1">
      <c r="A301" s="30"/>
      <c r="B301" s="59" t="str">
        <f t="shared" si="16"/>
        <v>Cloud Atlas (20th Anniversary Edition): A Novel</v>
      </c>
      <c r="C301" s="32" t="s">
        <v>10</v>
      </c>
      <c r="D301" s="33"/>
      <c r="E301" s="33"/>
      <c r="F301" s="33" t="s">
        <v>51</v>
      </c>
      <c r="G301" s="36"/>
      <c r="H301" s="60" t="s">
        <v>534</v>
      </c>
      <c r="I301" s="36"/>
      <c r="J301" s="36" t="s">
        <v>535</v>
      </c>
      <c r="K301" s="60" t="str">
        <f t="shared" si="17"/>
        <v>Cloud Atlas (20th Anniversary Edition): A Novel by Scott Brick, Cassandra Campbell</v>
      </c>
    </row>
    <row r="302" outlineLevel="1">
      <c r="A302" s="30"/>
      <c r="B302" s="59" t="str">
        <f t="shared" si="16"/>
        <v>Cloud Atlas: A Novel</v>
      </c>
      <c r="C302" s="32" t="s">
        <v>10</v>
      </c>
      <c r="D302" s="33"/>
      <c r="E302" s="33"/>
      <c r="F302" s="33" t="s">
        <v>51</v>
      </c>
      <c r="G302" s="36"/>
      <c r="H302" s="60" t="s">
        <v>536</v>
      </c>
      <c r="I302" s="36"/>
      <c r="J302" s="36" t="s">
        <v>537</v>
      </c>
      <c r="K302" s="60" t="str">
        <f t="shared" si="17"/>
        <v>Cloud Atlas: A Novel by David Mitchell</v>
      </c>
    </row>
    <row r="303" outlineLevel="1">
      <c r="A303" s="30"/>
      <c r="B303" s="59" t="str">
        <f t="shared" si="16"/>
        <v>Co-Active Leadership: Five Ways to Lead</v>
      </c>
      <c r="C303" s="32" t="s">
        <v>10</v>
      </c>
      <c r="D303" s="33"/>
      <c r="E303" s="33"/>
      <c r="F303" s="33" t="s">
        <v>51</v>
      </c>
      <c r="G303" s="36"/>
      <c r="H303" s="60" t="s">
        <v>538</v>
      </c>
      <c r="I303" s="36"/>
      <c r="J303" s="36" t="s">
        <v>539</v>
      </c>
      <c r="K303" s="60" t="str">
        <f t="shared" si="17"/>
        <v>Co-Active Leadership: Five Ways to Lead by Karen Kimsey-House, Henry Kimsey-House</v>
      </c>
    </row>
    <row r="304" outlineLevel="1">
      <c r="A304" s="30"/>
      <c r="B304" s="59" t="str">
        <f t="shared" si="16"/>
        <v>Co-Intelligence: Living and Working with AI</v>
      </c>
      <c r="C304" s="32" t="s">
        <v>22</v>
      </c>
      <c r="D304" s="33"/>
      <c r="E304" s="33"/>
      <c r="F304" s="33" t="s">
        <v>51</v>
      </c>
      <c r="G304" s="36"/>
      <c r="H304" s="60" t="s">
        <v>540</v>
      </c>
      <c r="I304" s="36"/>
      <c r="J304" s="36" t="s">
        <v>541</v>
      </c>
      <c r="K304" s="60" t="str">
        <f t="shared" si="17"/>
        <v>Co-Intelligence: Living and Working with AI by Ethan Mollick</v>
      </c>
    </row>
    <row r="305" outlineLevel="1">
      <c r="A305" s="30"/>
      <c r="B305" s="59" t="str">
        <f t="shared" si="16"/>
        <v>Collected Fictions</v>
      </c>
      <c r="C305" s="32" t="s">
        <v>10</v>
      </c>
      <c r="D305" s="33"/>
      <c r="E305" s="33"/>
      <c r="F305" s="33" t="s">
        <v>51</v>
      </c>
      <c r="G305" s="36"/>
      <c r="H305" s="60" t="s">
        <v>542</v>
      </c>
      <c r="I305" s="36"/>
      <c r="J305" s="36" t="s">
        <v>543</v>
      </c>
      <c r="K305" s="60" t="str">
        <f t="shared" si="17"/>
        <v>Collected Fictions by Jorge Luis Borges, Andrew Hurley</v>
      </c>
    </row>
    <row r="306" outlineLevel="1">
      <c r="A306" s="30"/>
      <c r="B306" s="59" t="str">
        <f t="shared" si="16"/>
        <v>Colossus: The Turbulent, Thrilling Saga of the Building of Hoover Dam</v>
      </c>
      <c r="C306" s="32" t="s">
        <v>10</v>
      </c>
      <c r="D306" s="33"/>
      <c r="E306" s="33"/>
      <c r="F306" s="33" t="s">
        <v>51</v>
      </c>
      <c r="G306" s="36"/>
      <c r="H306" s="60" t="s">
        <v>544</v>
      </c>
      <c r="I306" s="36"/>
      <c r="J306" s="36" t="s">
        <v>545</v>
      </c>
      <c r="K306" s="60" t="str">
        <f t="shared" si="17"/>
        <v>Colossus: The Turbulent, Thrilling Saga of the Building of Hoover Dam by Michael Hiltzik</v>
      </c>
    </row>
    <row r="307" outlineLevel="1">
      <c r="A307" s="30"/>
      <c r="B307" s="59" t="str">
        <f t="shared" si="16"/>
        <v>Coming Clean</v>
      </c>
      <c r="C307" s="32" t="s">
        <v>10</v>
      </c>
      <c r="D307" s="33"/>
      <c r="E307" s="33"/>
      <c r="F307" s="33" t="s">
        <v>51</v>
      </c>
      <c r="G307" s="36"/>
      <c r="H307" s="60" t="s">
        <v>546</v>
      </c>
      <c r="I307" s="36"/>
      <c r="J307" s="36" t="s">
        <v>547</v>
      </c>
      <c r="K307" s="60" t="str">
        <f t="shared" si="17"/>
        <v>Coming Clean by Kimberly Rae Miller</v>
      </c>
    </row>
    <row r="308" outlineLevel="1">
      <c r="A308" s="30"/>
      <c r="B308" s="59" t="str">
        <f t="shared" si="16"/>
        <v>Commonwealth</v>
      </c>
      <c r="C308" s="32" t="s">
        <v>10</v>
      </c>
      <c r="D308" s="33"/>
      <c r="E308" s="33"/>
      <c r="F308" s="33" t="s">
        <v>51</v>
      </c>
      <c r="G308" s="36"/>
      <c r="H308" s="60" t="s">
        <v>548</v>
      </c>
      <c r="I308" s="36"/>
      <c r="J308" s="36" t="s">
        <v>549</v>
      </c>
      <c r="K308" s="60" t="str">
        <f t="shared" si="17"/>
        <v>Commonwealth by Ann Patchett</v>
      </c>
    </row>
    <row r="309" outlineLevel="1">
      <c r="A309" s="30"/>
      <c r="B309" s="59" t="str">
        <f t="shared" si="16"/>
        <v>Compelling Conversations for Fundraisers: Talk Your Way to Success with Donors and Funders</v>
      </c>
      <c r="C309" s="32" t="s">
        <v>10</v>
      </c>
      <c r="D309" s="33"/>
      <c r="E309" s="33"/>
      <c r="F309" s="33" t="s">
        <v>51</v>
      </c>
      <c r="G309" s="36"/>
      <c r="H309" s="60" t="s">
        <v>550</v>
      </c>
      <c r="I309" s="36"/>
      <c r="J309" s="36" t="s">
        <v>551</v>
      </c>
      <c r="K309" s="60" t="str">
        <f t="shared" si="17"/>
        <v>Compelling Conversations for Fundraisers: Talk Your Way to Success with Donors and Funders by Janet Levine, Laurie A Selik</v>
      </c>
    </row>
    <row r="310" outlineLevel="1">
      <c r="A310" s="30"/>
      <c r="B310" s="59" t="str">
        <f t="shared" si="16"/>
        <v>Complications: A Surgeon's Notes on an Imperfect Science</v>
      </c>
      <c r="C310" s="32" t="s">
        <v>22</v>
      </c>
      <c r="D310" s="33"/>
      <c r="E310" s="33"/>
      <c r="F310" s="33" t="s">
        <v>51</v>
      </c>
      <c r="G310" s="36"/>
      <c r="H310" s="60" t="s">
        <v>457</v>
      </c>
      <c r="I310" s="36"/>
      <c r="J310" s="36" t="s">
        <v>552</v>
      </c>
      <c r="K310" s="60" t="str">
        <f t="shared" si="17"/>
        <v>Complications: A Surgeon's Notes on an Imperfect Science by Atul Gawande</v>
      </c>
    </row>
    <row r="311" outlineLevel="1">
      <c r="A311" s="30"/>
      <c r="B311" s="59" t="str">
        <f t="shared" si="16"/>
        <v>Confederates in the Attic: Dispatches from the Unfinished Civil War</v>
      </c>
      <c r="C311" s="32" t="s">
        <v>10</v>
      </c>
      <c r="D311" s="33"/>
      <c r="E311" s="33"/>
      <c r="F311" s="33" t="s">
        <v>51</v>
      </c>
      <c r="G311" s="36"/>
      <c r="H311" s="60" t="s">
        <v>553</v>
      </c>
      <c r="I311" s="36"/>
      <c r="J311" s="36" t="s">
        <v>554</v>
      </c>
      <c r="K311" s="60" t="str">
        <f t="shared" si="17"/>
        <v>Confederates in the Attic: Dispatches from the Unfinished Civil War by Tony Horwitz</v>
      </c>
    </row>
    <row r="312" outlineLevel="1">
      <c r="A312" s="30"/>
      <c r="B312" s="59" t="str">
        <f t="shared" si="16"/>
        <v>Conflicted: How Productive Disagreements Lead to Better Outcomes</v>
      </c>
      <c r="C312" s="32" t="s">
        <v>10</v>
      </c>
      <c r="D312" s="33"/>
      <c r="E312" s="33"/>
      <c r="F312" s="33" t="s">
        <v>51</v>
      </c>
      <c r="G312" s="36"/>
      <c r="H312" s="60" t="s">
        <v>121</v>
      </c>
      <c r="I312" s="36"/>
      <c r="J312" s="36" t="s">
        <v>555</v>
      </c>
      <c r="K312" s="60" t="str">
        <f t="shared" si="17"/>
        <v>Conflicted: How Productive Disagreements Lead to Better Outcomes by Ian Leslie</v>
      </c>
    </row>
    <row r="313" outlineLevel="1">
      <c r="A313" s="30"/>
      <c r="B313" s="59" t="str">
        <f t="shared" si="16"/>
        <v>Confront and Conceal: Obama's Secret Wars and Surprising Use of American Power</v>
      </c>
      <c r="C313" s="32" t="s">
        <v>10</v>
      </c>
      <c r="D313" s="33"/>
      <c r="E313" s="33"/>
      <c r="F313" s="33" t="s">
        <v>51</v>
      </c>
      <c r="G313" s="36"/>
      <c r="H313" s="60" t="s">
        <v>556</v>
      </c>
      <c r="I313" s="36"/>
      <c r="J313" s="36" t="s">
        <v>557</v>
      </c>
      <c r="K313" s="60" t="str">
        <f t="shared" si="17"/>
        <v>Confront and Conceal: Obama's Secret Wars and Surprising Use of American Power by David E. Sanger</v>
      </c>
    </row>
    <row r="314" outlineLevel="1">
      <c r="A314" s="30"/>
      <c r="B314" s="59" t="str">
        <f t="shared" si="16"/>
        <v>Consciousness: A Very Short Introduction</v>
      </c>
      <c r="C314" s="32" t="s">
        <v>22</v>
      </c>
      <c r="D314" s="33"/>
      <c r="E314" s="33"/>
      <c r="F314" s="33" t="s">
        <v>51</v>
      </c>
      <c r="G314" s="36"/>
      <c r="H314" s="60" t="s">
        <v>558</v>
      </c>
      <c r="I314" s="36"/>
      <c r="J314" s="36" t="s">
        <v>559</v>
      </c>
      <c r="K314" s="60" t="str">
        <f t="shared" si="17"/>
        <v>Consciousness: A Very Short Introduction by Susan Blackmore</v>
      </c>
    </row>
    <row r="315" outlineLevel="1">
      <c r="A315" s="30"/>
      <c r="B315" s="59" t="str">
        <f t="shared" si="16"/>
        <v>Consolations - Revised edition: The Solace, Nourishment and Underlying Meaning of Everyday Words</v>
      </c>
      <c r="C315" s="32" t="s">
        <v>10</v>
      </c>
      <c r="D315" s="33"/>
      <c r="E315" s="33"/>
      <c r="F315" s="33" t="s">
        <v>51</v>
      </c>
      <c r="G315" s="36"/>
      <c r="H315" s="60" t="s">
        <v>560</v>
      </c>
      <c r="I315" s="36"/>
      <c r="J315" s="36" t="s">
        <v>561</v>
      </c>
      <c r="K315" s="60" t="str">
        <f t="shared" si="17"/>
        <v>Consolations - Revised edition: The Solace, Nourishment and Underlying Meaning of Everyday Words by David Whyte</v>
      </c>
    </row>
    <row r="316" outlineLevel="1">
      <c r="A316" s="30"/>
      <c r="B316" s="59" t="str">
        <f t="shared" si="16"/>
        <v>Conspiracy: Peter Thiel, Hulk Hogan, Gawker, and the Anatomy of Intrigue</v>
      </c>
      <c r="C316" s="32" t="s">
        <v>22</v>
      </c>
      <c r="D316" s="33"/>
      <c r="E316" s="33"/>
      <c r="F316" s="33" t="s">
        <v>51</v>
      </c>
      <c r="G316" s="36"/>
      <c r="H316" s="60" t="s">
        <v>562</v>
      </c>
      <c r="I316" s="36"/>
      <c r="J316" s="36" t="s">
        <v>563</v>
      </c>
      <c r="K316" s="60" t="str">
        <f t="shared" si="17"/>
        <v>Conspiracy: Peter Thiel, Hulk Hogan, Gawker, and the Anatomy of Intrigue by Ryan Holiday</v>
      </c>
    </row>
    <row r="317" outlineLevel="1">
      <c r="A317" s="30"/>
      <c r="B317" s="59" t="str">
        <f t="shared" si="16"/>
        <v>Constitution 3.0: Freedom and Technological Change</v>
      </c>
      <c r="C317" s="32" t="s">
        <v>22</v>
      </c>
      <c r="D317" s="33"/>
      <c r="E317" s="33"/>
      <c r="F317" s="33" t="s">
        <v>51</v>
      </c>
      <c r="G317" s="36"/>
      <c r="H317" s="60" t="s">
        <v>564</v>
      </c>
      <c r="I317" s="36"/>
      <c r="J317" s="36" t="s">
        <v>565</v>
      </c>
      <c r="K317" s="60" t="str">
        <f t="shared" si="17"/>
        <v>Constitution 3.0: Freedom and Technological Change by Jeffrey Rosen</v>
      </c>
    </row>
    <row r="318" outlineLevel="1">
      <c r="A318" s="30"/>
      <c r="B318" s="59" t="str">
        <f t="shared" si="16"/>
        <v>Corrupted: A Rosato &amp; DiNunzio Novel</v>
      </c>
      <c r="C318" s="32" t="s">
        <v>10</v>
      </c>
      <c r="D318" s="33"/>
      <c r="E318" s="33"/>
      <c r="F318" s="33" t="s">
        <v>51</v>
      </c>
      <c r="G318" s="36"/>
      <c r="H318" s="60" t="s">
        <v>566</v>
      </c>
      <c r="I318" s="36"/>
      <c r="J318" s="36" t="s">
        <v>567</v>
      </c>
      <c r="K318" s="60" t="str">
        <f t="shared" si="17"/>
        <v>Corrupted: A Rosato &amp; DiNunzio Novel by Lisa Scottoline</v>
      </c>
    </row>
    <row r="319" outlineLevel="1">
      <c r="A319" s="30"/>
      <c r="B319" s="59" t="str">
        <f t="shared" si="16"/>
        <v>Creating a Life of Integrity: In Conversation with Joseph Goldstein</v>
      </c>
      <c r="C319" s="32" t="s">
        <v>10</v>
      </c>
      <c r="D319" s="33"/>
      <c r="E319" s="33"/>
      <c r="F319" s="33" t="s">
        <v>51</v>
      </c>
      <c r="G319" s="36"/>
      <c r="H319" s="60" t="s">
        <v>568</v>
      </c>
      <c r="I319" s="36"/>
      <c r="J319" s="36" t="s">
        <v>569</v>
      </c>
      <c r="K319" s="60" t="str">
        <f t="shared" si="17"/>
        <v>Creating a Life of Integrity: In Conversation with Joseph Goldstein by Gail Andersen Stark, Joseph Goldstein</v>
      </c>
    </row>
    <row r="320" outlineLevel="1">
      <c r="A320" s="30"/>
      <c r="B320" s="59" t="str">
        <f t="shared" si="16"/>
        <v>Creating Innovators: The Making of Young People Who Will Change the World</v>
      </c>
      <c r="C320" s="32" t="s">
        <v>10</v>
      </c>
      <c r="D320" s="33"/>
      <c r="E320" s="33"/>
      <c r="F320" s="33" t="s">
        <v>51</v>
      </c>
      <c r="G320" s="36"/>
      <c r="H320" s="60" t="s">
        <v>570</v>
      </c>
      <c r="I320" s="36"/>
      <c r="J320" s="36" t="s">
        <v>571</v>
      </c>
      <c r="K320" s="60" t="str">
        <f t="shared" si="17"/>
        <v>Creating Innovators: The Making of Young People Who Will Change the World by Tony Wagner</v>
      </c>
    </row>
    <row r="321" outlineLevel="1">
      <c r="A321" s="30"/>
      <c r="B321" s="59" t="str">
        <f t="shared" si="16"/>
        <v>Creative Intelligence: Harnessing the Power to Create, Connect, and Inspire – Original Insights on Problem-Solving and Business Innovation</v>
      </c>
      <c r="C321" s="32" t="s">
        <v>10</v>
      </c>
      <c r="D321" s="33"/>
      <c r="E321" s="33"/>
      <c r="F321" s="33" t="s">
        <v>51</v>
      </c>
      <c r="G321" s="36"/>
      <c r="H321" s="60" t="s">
        <v>572</v>
      </c>
      <c r="I321" s="36"/>
      <c r="J321" s="36" t="s">
        <v>573</v>
      </c>
      <c r="K321" s="60" t="str">
        <f t="shared" si="17"/>
        <v>Creative Intelligence: Harnessing the Power to Create, Connect, and Inspire – Original Insights on Problem-Solving and Business Innovation by Bruce Nussbaum</v>
      </c>
    </row>
    <row r="322" outlineLevel="1">
      <c r="A322" s="30"/>
      <c r="B322" s="59" t="str">
        <f t="shared" si="16"/>
        <v>Creativity, Inc.: Overcoming the Unseen Forces That Stand in the Way of True Inspiration</v>
      </c>
      <c r="C322" s="32" t="s">
        <v>22</v>
      </c>
      <c r="D322" s="33"/>
      <c r="E322" s="33"/>
      <c r="F322" s="33" t="s">
        <v>51</v>
      </c>
      <c r="G322" s="36"/>
      <c r="H322" s="60" t="s">
        <v>574</v>
      </c>
      <c r="I322" s="36"/>
      <c r="J322" s="36" t="s">
        <v>575</v>
      </c>
      <c r="K322" s="60" t="str">
        <f t="shared" si="17"/>
        <v>Creativity, Inc.: Overcoming the Unseen Forces That Stand in the Way of True Inspiration by Ed Catmull, Amy Wallace</v>
      </c>
    </row>
    <row r="323" outlineLevel="1">
      <c r="A323" s="30"/>
      <c r="B323" s="59" t="str">
        <f t="shared" si="16"/>
        <v>Crossing to Safety</v>
      </c>
      <c r="C323" s="32" t="s">
        <v>10</v>
      </c>
      <c r="D323" s="33"/>
      <c r="E323" s="33"/>
      <c r="F323" s="33" t="s">
        <v>51</v>
      </c>
      <c r="G323" s="36"/>
      <c r="H323" s="60" t="s">
        <v>576</v>
      </c>
      <c r="I323" s="36"/>
      <c r="J323" s="36" t="s">
        <v>577</v>
      </c>
      <c r="K323" s="60" t="str">
        <f t="shared" si="17"/>
        <v>Crossing to Safety by Wallace Earle Stegner</v>
      </c>
    </row>
    <row r="324" outlineLevel="1">
      <c r="A324" s="30"/>
      <c r="B324" s="59" t="str">
        <f t="shared" si="16"/>
        <v>Culpability: A Novel</v>
      </c>
      <c r="C324" s="32" t="s">
        <v>10</v>
      </c>
      <c r="D324" s="33"/>
      <c r="E324" s="33"/>
      <c r="F324" s="33" t="s">
        <v>51</v>
      </c>
      <c r="G324" s="36"/>
      <c r="H324" s="60" t="s">
        <v>578</v>
      </c>
      <c r="I324" s="36"/>
      <c r="J324" s="36" t="s">
        <v>579</v>
      </c>
      <c r="K324" s="60" t="str">
        <f t="shared" si="17"/>
        <v>Culpability: A Novel by Bruce Holsinger, Stacy Carolan</v>
      </c>
    </row>
    <row r="325" outlineLevel="1">
      <c r="A325" s="30"/>
      <c r="B325" s="59" t="str">
        <f t="shared" si="16"/>
        <v>Cultural Intelligence: Improving Your CQ to Engage Our Multicultural World (Youth, Family, and Culture)</v>
      </c>
      <c r="C325" s="32" t="s">
        <v>22</v>
      </c>
      <c r="D325" s="33"/>
      <c r="E325" s="33"/>
      <c r="F325" s="33" t="s">
        <v>51</v>
      </c>
      <c r="G325" s="36"/>
      <c r="H325" s="60" t="s">
        <v>580</v>
      </c>
      <c r="I325" s="36"/>
      <c r="J325" s="36" t="s">
        <v>581</v>
      </c>
      <c r="K325" s="60" t="str">
        <f t="shared" si="17"/>
        <v>Cultural Intelligence: Improving Your CQ to Engage Our Multicultural World (Youth, Family, and Culture) by David A. Livermore, Chap Clark</v>
      </c>
    </row>
    <row r="326" outlineLevel="1">
      <c r="A326" s="30"/>
      <c r="B326" s="59" t="str">
        <f t="shared" si="16"/>
        <v>Curiosities Revealed: Astonishing Facts for the Inquisitive Mind</v>
      </c>
      <c r="C326" s="32" t="s">
        <v>22</v>
      </c>
      <c r="D326" s="33"/>
      <c r="E326" s="33"/>
      <c r="F326" s="33" t="s">
        <v>51</v>
      </c>
      <c r="G326" s="36"/>
      <c r="H326" s="60" t="s">
        <v>582</v>
      </c>
      <c r="I326" s="36"/>
      <c r="J326" s="36" t="s">
        <v>583</v>
      </c>
      <c r="K326" s="60" t="str">
        <f t="shared" si="17"/>
        <v>Curiosities Revealed: Astonishing Facts for the Inquisitive Mind by Seraphina Lewis</v>
      </c>
    </row>
    <row r="327" outlineLevel="1">
      <c r="A327" s="30"/>
      <c r="B327" s="59" t="str">
        <f t="shared" si="16"/>
        <v>Custer's Trials: A Life on the Frontier of a New America</v>
      </c>
      <c r="C327" s="32" t="s">
        <v>22</v>
      </c>
      <c r="D327" s="33"/>
      <c r="E327" s="33"/>
      <c r="F327" s="33" t="s">
        <v>51</v>
      </c>
      <c r="G327" s="36"/>
      <c r="H327" s="60" t="s">
        <v>584</v>
      </c>
      <c r="I327" s="36"/>
      <c r="J327" s="36" t="s">
        <v>585</v>
      </c>
      <c r="K327" s="60" t="str">
        <f t="shared" si="17"/>
        <v>Custer's Trials: A Life on the Frontier of a New America by T.J. Stiles</v>
      </c>
    </row>
    <row r="328" outlineLevel="1">
      <c r="A328" s="30"/>
      <c r="B328" s="59" t="str">
        <f t="shared" si="16"/>
        <v>Cybersecurity and Cyberwar: What Everyone Needs to Know®</v>
      </c>
      <c r="C328" s="32" t="s">
        <v>10</v>
      </c>
      <c r="D328" s="33"/>
      <c r="E328" s="33"/>
      <c r="F328" s="33" t="s">
        <v>51</v>
      </c>
      <c r="G328" s="36"/>
      <c r="H328" s="60" t="s">
        <v>586</v>
      </c>
      <c r="I328" s="36"/>
      <c r="J328" s="36" t="s">
        <v>587</v>
      </c>
      <c r="K328" s="60" t="str">
        <f t="shared" si="17"/>
        <v>Cybersecurity and Cyberwar: What Everyone Needs to Know® by P.W. Singer, Allan Friedman</v>
      </c>
    </row>
    <row r="329" outlineLevel="1">
      <c r="A329" s="30"/>
      <c r="B329" s="59" t="str">
        <f t="shared" si="16"/>
        <v>Daemon</v>
      </c>
      <c r="C329" s="32" t="s">
        <v>10</v>
      </c>
      <c r="D329" s="33"/>
      <c r="E329" s="33"/>
      <c r="F329" s="33" t="s">
        <v>51</v>
      </c>
      <c r="G329" s="36"/>
      <c r="H329" s="60" t="s">
        <v>588</v>
      </c>
      <c r="I329" s="36"/>
      <c r="J329" s="36" t="s">
        <v>589</v>
      </c>
      <c r="K329" s="60" t="str">
        <f t="shared" si="17"/>
        <v>Daemon by Jeff Gurner, Daniel Suarez</v>
      </c>
    </row>
    <row r="330" outlineLevel="1">
      <c r="A330" s="30"/>
      <c r="B330" s="59" t="str">
        <f t="shared" si="16"/>
        <v>Dare to Inspire: Sustain the Fire of Inspiration in Work and Life</v>
      </c>
      <c r="C330" s="32" t="s">
        <v>22</v>
      </c>
      <c r="D330" s="33"/>
      <c r="E330" s="33"/>
      <c r="F330" s="33" t="s">
        <v>51</v>
      </c>
      <c r="G330" s="36"/>
      <c r="H330" s="60" t="s">
        <v>590</v>
      </c>
      <c r="I330" s="36"/>
      <c r="J330" s="36" t="s">
        <v>591</v>
      </c>
      <c r="K330" s="60" t="str">
        <f t="shared" si="17"/>
        <v>Dare to Inspire: Sustain the Fire of Inspiration in Work and Life by Megan Tusing, Allison Holzer</v>
      </c>
    </row>
    <row r="331" outlineLevel="1">
      <c r="A331" s="30"/>
      <c r="B331" s="59" t="str">
        <f t="shared" si="16"/>
        <v>Dark Wire: The Incredible True Story of the Largest Sting Operation Ever</v>
      </c>
      <c r="C331" s="32" t="s">
        <v>22</v>
      </c>
      <c r="D331" s="33"/>
      <c r="E331" s="33"/>
      <c r="F331" s="33" t="s">
        <v>51</v>
      </c>
      <c r="G331" s="36"/>
      <c r="H331" s="60" t="s">
        <v>592</v>
      </c>
      <c r="I331" s="36"/>
      <c r="J331" s="36" t="s">
        <v>593</v>
      </c>
      <c r="K331" s="60" t="str">
        <f t="shared" si="17"/>
        <v>Dark Wire: The Incredible True Story of the Largest Sting Operation Ever by Joseph Cox</v>
      </c>
    </row>
    <row r="332" outlineLevel="1">
      <c r="A332" s="30"/>
      <c r="B332" s="59" t="str">
        <f t="shared" si="16"/>
        <v>Darkness Visible: A Memoir of Madness</v>
      </c>
      <c r="C332" s="32" t="s">
        <v>22</v>
      </c>
      <c r="D332" s="33"/>
      <c r="E332" s="33"/>
      <c r="F332" s="33" t="s">
        <v>51</v>
      </c>
      <c r="G332" s="36"/>
      <c r="H332" s="60" t="s">
        <v>594</v>
      </c>
      <c r="I332" s="36"/>
      <c r="J332" s="36" t="s">
        <v>595</v>
      </c>
      <c r="K332" s="60" t="str">
        <f t="shared" si="17"/>
        <v>Darkness Visible: A Memoir of Madness by William Styron</v>
      </c>
    </row>
    <row r="333" outlineLevel="1">
      <c r="A333" s="30"/>
      <c r="B333" s="59" t="str">
        <f t="shared" si="16"/>
        <v>Darwin's Dangerous Idea: Evolution and the Meanings of Life</v>
      </c>
      <c r="C333" s="32" t="s">
        <v>22</v>
      </c>
      <c r="D333" s="33"/>
      <c r="E333" s="33"/>
      <c r="F333" s="33" t="s">
        <v>51</v>
      </c>
      <c r="G333" s="36"/>
      <c r="H333" s="60" t="s">
        <v>596</v>
      </c>
      <c r="I333" s="36"/>
      <c r="J333" s="36" t="s">
        <v>597</v>
      </c>
      <c r="K333" s="60" t="str">
        <f t="shared" si="17"/>
        <v>Darwin's Dangerous Idea: Evolution and the Meanings of Life by Daniel C. Dennett</v>
      </c>
    </row>
    <row r="334" outlineLevel="1">
      <c r="A334" s="30"/>
      <c r="B334" s="59" t="str">
        <f t="shared" si="16"/>
        <v>Deacon King Kong: A Novel</v>
      </c>
      <c r="C334" s="32" t="s">
        <v>10</v>
      </c>
      <c r="D334" s="33"/>
      <c r="E334" s="33"/>
      <c r="F334" s="33" t="s">
        <v>51</v>
      </c>
      <c r="G334" s="36" t="s">
        <v>373</v>
      </c>
      <c r="H334" s="60" t="s">
        <v>598</v>
      </c>
      <c r="I334" s="36"/>
      <c r="J334" s="36" t="s">
        <v>599</v>
      </c>
      <c r="K334" s="60" t="str">
        <f t="shared" si="17"/>
        <v>Deacon King Kong: A Novel by James McBride</v>
      </c>
    </row>
    <row r="335" outlineLevel="1">
      <c r="A335" s="30"/>
      <c r="B335" s="59" t="str">
        <f t="shared" si="16"/>
        <v>Dear Madam President: An Open Letter to the Women Who Will Run the World</v>
      </c>
      <c r="C335" s="32" t="s">
        <v>10</v>
      </c>
      <c r="D335" s="33"/>
      <c r="E335" s="33"/>
      <c r="F335" s="33" t="s">
        <v>51</v>
      </c>
      <c r="G335" s="36"/>
      <c r="H335" s="60" t="s">
        <v>600</v>
      </c>
      <c r="I335" s="36"/>
      <c r="J335" s="36" t="s">
        <v>601</v>
      </c>
      <c r="K335" s="60" t="str">
        <f t="shared" si="17"/>
        <v>Dear Madam President: An Open Letter to the Women Who Will Run the World by Jennifer Palmieri</v>
      </c>
    </row>
    <row r="336" outlineLevel="1">
      <c r="A336" s="30"/>
      <c r="B336" s="59" t="str">
        <f t="shared" si="16"/>
        <v>Death in Venice</v>
      </c>
      <c r="C336" s="32" t="s">
        <v>10</v>
      </c>
      <c r="D336" s="33"/>
      <c r="E336" s="33"/>
      <c r="F336" s="33" t="s">
        <v>51</v>
      </c>
      <c r="G336" s="36"/>
      <c r="H336" s="60" t="s">
        <v>602</v>
      </c>
      <c r="I336" s="36"/>
      <c r="J336" s="36" t="s">
        <v>603</v>
      </c>
      <c r="K336" s="60" t="str">
        <f t="shared" si="17"/>
        <v>Death in Venice by Thomas Mann, Martin C. Doege</v>
      </c>
    </row>
    <row r="337" outlineLevel="1">
      <c r="A337" s="30"/>
      <c r="B337" s="59" t="str">
        <f t="shared" si="16"/>
        <v>Death's End </v>
      </c>
      <c r="C337" s="32" t="s">
        <v>10</v>
      </c>
      <c r="D337" s="33"/>
      <c r="E337" s="33"/>
      <c r="F337" s="33" t="s">
        <v>51</v>
      </c>
      <c r="G337" s="36" t="s">
        <v>604</v>
      </c>
      <c r="H337" s="60" t="s">
        <v>605</v>
      </c>
      <c r="I337" s="36"/>
      <c r="J337" s="36" t="s">
        <v>606</v>
      </c>
      <c r="K337" s="60" t="str">
        <f t="shared" si="17"/>
        <v>Death's End  by Cixin Liu, Ken Liu</v>
      </c>
    </row>
    <row r="338" outlineLevel="1">
      <c r="A338" s="30"/>
      <c r="B338" s="59" t="str">
        <f t="shared" si="16"/>
        <v>Debt: The First 5,000 Years,Updated and Expanded</v>
      </c>
      <c r="C338" s="32" t="s">
        <v>10</v>
      </c>
      <c r="D338" s="33"/>
      <c r="E338" s="33"/>
      <c r="F338" s="33" t="s">
        <v>51</v>
      </c>
      <c r="G338" s="36"/>
      <c r="H338" s="60" t="s">
        <v>607</v>
      </c>
      <c r="I338" s="36"/>
      <c r="J338" s="36" t="s">
        <v>608</v>
      </c>
      <c r="K338" s="60" t="str">
        <f t="shared" si="17"/>
        <v>Debt: The First 5,000 Years,Updated and Expanded by David Graeber</v>
      </c>
    </row>
    <row r="339" outlineLevel="1">
      <c r="A339" s="30"/>
      <c r="B339" s="59" t="str">
        <f t="shared" si="16"/>
        <v>Decision at Sea: Five Naval Battles that Shaped American History</v>
      </c>
      <c r="C339" s="32" t="s">
        <v>10</v>
      </c>
      <c r="D339" s="33"/>
      <c r="E339" s="33"/>
      <c r="F339" s="33" t="s">
        <v>51</v>
      </c>
      <c r="G339" s="36"/>
      <c r="H339" s="60" t="s">
        <v>609</v>
      </c>
      <c r="I339" s="36"/>
      <c r="J339" s="36" t="s">
        <v>610</v>
      </c>
      <c r="K339" s="60" t="str">
        <f t="shared" si="17"/>
        <v>Decision at Sea: Five Naval Battles that Shaped American History by Craig L. Symonds</v>
      </c>
    </row>
    <row r="340" outlineLevel="1">
      <c r="A340" s="30"/>
      <c r="B340" s="59" t="str">
        <f t="shared" si="16"/>
        <v>Deep Tech: Demystifying the Breakthrough Technologies That Will Revolutionize Everything</v>
      </c>
      <c r="C340" s="32" t="s">
        <v>10</v>
      </c>
      <c r="D340" s="33"/>
      <c r="E340" s="33"/>
      <c r="F340" s="33" t="s">
        <v>51</v>
      </c>
      <c r="G340" s="36"/>
      <c r="H340" s="60" t="s">
        <v>611</v>
      </c>
      <c r="I340" s="36"/>
      <c r="J340" s="36" t="s">
        <v>612</v>
      </c>
      <c r="K340" s="60" t="str">
        <f t="shared" si="17"/>
        <v>Deep Tech: Demystifying the Breakthrough Technologies That Will Revolutionize Everything by Eric Redmond</v>
      </c>
    </row>
    <row r="341" outlineLevel="1">
      <c r="A341" s="30"/>
      <c r="B341" s="59" t="str">
        <f t="shared" si="16"/>
        <v>Defending Jacob: A Novel</v>
      </c>
      <c r="C341" s="32" t="s">
        <v>10</v>
      </c>
      <c r="D341" s="33"/>
      <c r="E341" s="33"/>
      <c r="F341" s="33" t="s">
        <v>51</v>
      </c>
      <c r="G341" s="36"/>
      <c r="H341" s="60" t="s">
        <v>613</v>
      </c>
      <c r="I341" s="36"/>
      <c r="J341" s="36" t="s">
        <v>614</v>
      </c>
      <c r="K341" s="60" t="str">
        <f t="shared" si="17"/>
        <v>Defending Jacob: A Novel by William Landay</v>
      </c>
    </row>
    <row r="342" outlineLevel="1">
      <c r="A342" s="30"/>
      <c r="B342" s="59" t="str">
        <f t="shared" si="16"/>
        <v>Designing Your Life: How to Build a Well-Lived, Joyful Life</v>
      </c>
      <c r="C342" s="32" t="s">
        <v>10</v>
      </c>
      <c r="D342" s="33"/>
      <c r="E342" s="33"/>
      <c r="F342" s="33" t="s">
        <v>51</v>
      </c>
      <c r="G342" s="36"/>
      <c r="H342" s="60" t="s">
        <v>615</v>
      </c>
      <c r="I342" s="36"/>
      <c r="J342" s="36" t="s">
        <v>616</v>
      </c>
      <c r="K342" s="60" t="str">
        <f t="shared" si="17"/>
        <v>Designing Your Life: How to Build a Well-Lived, Joyful Life by Bill Burnett, Dave Evans</v>
      </c>
    </row>
    <row r="343" outlineLevel="1">
      <c r="A343" s="30"/>
      <c r="B343" s="59" t="str">
        <f t="shared" si="16"/>
        <v>Destiny of the Republic: A Tale of Madness, Medicine and the Murder of a President</v>
      </c>
      <c r="C343" s="32" t="s">
        <v>10</v>
      </c>
      <c r="D343" s="33"/>
      <c r="E343" s="33"/>
      <c r="F343" s="33" t="s">
        <v>51</v>
      </c>
      <c r="G343" s="36"/>
      <c r="H343" s="60" t="s">
        <v>617</v>
      </c>
      <c r="I343" s="36"/>
      <c r="J343" s="36" t="s">
        <v>618</v>
      </c>
      <c r="K343" s="60" t="str">
        <f t="shared" si="17"/>
        <v>Destiny of the Republic: A Tale of Madness, Medicine and the Murder of a President by Candice Millard</v>
      </c>
    </row>
    <row r="344" outlineLevel="1">
      <c r="A344" s="30"/>
      <c r="B344" s="59" t="str">
        <f t="shared" si="16"/>
        <v>Determined: A Science of Life Without Free Will</v>
      </c>
      <c r="C344" s="32" t="s">
        <v>22</v>
      </c>
      <c r="D344" s="33"/>
      <c r="E344" s="33"/>
      <c r="F344" s="33" t="s">
        <v>51</v>
      </c>
      <c r="G344" s="36"/>
      <c r="H344" s="60" t="s">
        <v>619</v>
      </c>
      <c r="I344" s="36"/>
      <c r="J344" s="36" t="s">
        <v>620</v>
      </c>
      <c r="K344" s="60" t="str">
        <f t="shared" si="17"/>
        <v>Determined: A Science of Life Without Free Will by Kaleo Griffith, Robert M. Sapolsky</v>
      </c>
    </row>
    <row r="345" outlineLevel="1">
      <c r="A345" s="30"/>
      <c r="B345" s="59" t="str">
        <f t="shared" si="16"/>
        <v>Disappearance Of Adele Bedeau</v>
      </c>
      <c r="C345" s="32" t="s">
        <v>10</v>
      </c>
      <c r="D345" s="33"/>
      <c r="E345" s="33"/>
      <c r="F345" s="33" t="s">
        <v>51</v>
      </c>
      <c r="G345" s="36"/>
      <c r="H345" s="60" t="s">
        <v>621</v>
      </c>
      <c r="I345" s="36"/>
      <c r="J345" s="36" t="s">
        <v>622</v>
      </c>
      <c r="K345" s="60" t="str">
        <f t="shared" si="17"/>
        <v>Disappearance Of Adele Bedeau by Raymond Brunet; Graeme Macrae Burnet (Trans.)</v>
      </c>
    </row>
    <row r="346" outlineLevel="1">
      <c r="A346" s="30"/>
      <c r="B346" s="59" t="str">
        <f t="shared" si="16"/>
        <v>Disrupt Yourself: Putting the Power of Disruptive Innovation to Work</v>
      </c>
      <c r="C346" s="32" t="s">
        <v>22</v>
      </c>
      <c r="D346" s="33"/>
      <c r="E346" s="33"/>
      <c r="F346" s="33" t="s">
        <v>51</v>
      </c>
      <c r="G346" s="36"/>
      <c r="H346" s="60" t="s">
        <v>623</v>
      </c>
      <c r="I346" s="36"/>
      <c r="J346" s="36" t="s">
        <v>624</v>
      </c>
      <c r="K346" s="60" t="str">
        <f t="shared" si="17"/>
        <v>Disrupt Yourself: Putting the Power of Disruptive Innovation to Work by Whitney Johnson</v>
      </c>
    </row>
    <row r="347" outlineLevel="1">
      <c r="A347" s="30"/>
      <c r="B347" s="59" t="str">
        <f t="shared" si="16"/>
        <v>Disrupted: My Misadventure in the Start-Up Bubble</v>
      </c>
      <c r="C347" s="32" t="s">
        <v>10</v>
      </c>
      <c r="D347" s="33"/>
      <c r="E347" s="33"/>
      <c r="F347" s="33" t="s">
        <v>51</v>
      </c>
      <c r="G347" s="36"/>
      <c r="H347" s="60" t="s">
        <v>625</v>
      </c>
      <c r="I347" s="36"/>
      <c r="J347" s="36" t="s">
        <v>626</v>
      </c>
      <c r="K347" s="60" t="str">
        <f t="shared" si="17"/>
        <v>Disrupted: My Misadventure in the Start-Up Bubble by Dan Lyons</v>
      </c>
    </row>
    <row r="348" outlineLevel="1">
      <c r="A348" s="30"/>
      <c r="B348" s="59" t="str">
        <f t="shared" si="16"/>
        <v>Dissent and the Supreme Court: Its Role in the Court's History and the Nation's Constitutional Dialogue</v>
      </c>
      <c r="C348" s="32" t="s">
        <v>10</v>
      </c>
      <c r="D348" s="33"/>
      <c r="E348" s="33"/>
      <c r="F348" s="33" t="s">
        <v>51</v>
      </c>
      <c r="G348" s="36"/>
      <c r="H348" s="60" t="s">
        <v>627</v>
      </c>
      <c r="I348" s="36"/>
      <c r="J348" s="36" t="s">
        <v>628</v>
      </c>
      <c r="K348" s="60" t="str">
        <f t="shared" si="17"/>
        <v>Dissent and the Supreme Court: Its Role in the Court's History and the Nation's Constitutional Dialogue by Melvin I. Urofsky</v>
      </c>
    </row>
    <row r="349" outlineLevel="1">
      <c r="A349" s="30"/>
      <c r="B349" s="59" t="str">
        <f t="shared" si="16"/>
        <v>DK Eyewitness Top 10 World</v>
      </c>
      <c r="C349" s="32" t="s">
        <v>22</v>
      </c>
      <c r="D349" s="33"/>
      <c r="E349" s="33"/>
      <c r="F349" s="33" t="s">
        <v>51</v>
      </c>
      <c r="G349" s="36"/>
      <c r="H349" s="60" t="s">
        <v>629</v>
      </c>
      <c r="I349" s="36"/>
      <c r="J349" s="36" t="s">
        <v>630</v>
      </c>
      <c r="K349" s="60" t="str">
        <f t="shared" si="17"/>
        <v>DK Eyewitness Top 10 World by Penguin Books Ltd</v>
      </c>
    </row>
    <row r="350" outlineLevel="1">
      <c r="A350" s="30"/>
      <c r="B350" s="59" t="str">
        <f t="shared" si="16"/>
        <v>Dodgers: A Novel</v>
      </c>
      <c r="C350" s="32" t="s">
        <v>10</v>
      </c>
      <c r="D350" s="33"/>
      <c r="E350" s="33"/>
      <c r="F350" s="33" t="s">
        <v>51</v>
      </c>
      <c r="G350" s="36"/>
      <c r="H350" s="60" t="s">
        <v>631</v>
      </c>
      <c r="I350" s="36"/>
      <c r="J350" s="36" t="s">
        <v>632</v>
      </c>
      <c r="K350" s="60" t="str">
        <f t="shared" si="17"/>
        <v>Dodgers: A Novel by Bill Beverly</v>
      </c>
    </row>
    <row r="351" outlineLevel="1">
      <c r="A351" s="30"/>
      <c r="B351" s="59" t="str">
        <f t="shared" si="16"/>
        <v>Dogs at the Perimeter: A Novel</v>
      </c>
      <c r="C351" s="32" t="s">
        <v>10</v>
      </c>
      <c r="D351" s="33"/>
      <c r="E351" s="33"/>
      <c r="F351" s="33" t="s">
        <v>51</v>
      </c>
      <c r="G351" s="36"/>
      <c r="H351" s="60" t="s">
        <v>633</v>
      </c>
      <c r="I351" s="36"/>
      <c r="J351" s="36" t="s">
        <v>634</v>
      </c>
      <c r="K351" s="60" t="str">
        <f t="shared" si="17"/>
        <v>Dogs at the Perimeter: A Novel by Madeleine Thien</v>
      </c>
    </row>
    <row r="352" outlineLevel="1">
      <c r="A352" s="30"/>
      <c r="B352" s="59" t="str">
        <f t="shared" si="16"/>
        <v>Doing Justice: A Prosecutor's Thoughts on Crime, Punishment, and the Rule of Law</v>
      </c>
      <c r="C352" s="32" t="s">
        <v>22</v>
      </c>
      <c r="D352" s="33"/>
      <c r="E352" s="33"/>
      <c r="F352" s="33" t="s">
        <v>51</v>
      </c>
      <c r="G352" s="36"/>
      <c r="H352" s="60" t="s">
        <v>635</v>
      </c>
      <c r="I352" s="36"/>
      <c r="J352" s="36" t="s">
        <v>636</v>
      </c>
      <c r="K352" s="60" t="str">
        <f t="shared" si="17"/>
        <v>Doing Justice: A Prosecutor's Thoughts on Crime, Punishment, and the Rule of Law by Preet Bharara</v>
      </c>
    </row>
    <row r="353" outlineLevel="1">
      <c r="A353" s="30"/>
      <c r="B353" s="59" t="str">
        <f t="shared" si="16"/>
        <v>Dollars and Sense: How We Misthink Money and How to Spend Smarter</v>
      </c>
      <c r="C353" s="32" t="s">
        <v>10</v>
      </c>
      <c r="D353" s="33"/>
      <c r="E353" s="33"/>
      <c r="F353" s="33" t="s">
        <v>51</v>
      </c>
      <c r="G353" s="36"/>
      <c r="H353" s="60" t="s">
        <v>637</v>
      </c>
      <c r="I353" s="36"/>
      <c r="J353" s="36" t="s">
        <v>638</v>
      </c>
      <c r="K353" s="60" t="str">
        <f t="shared" si="17"/>
        <v>Dollars and Sense: How We Misthink Money and How to Spend Smarter by Dan Ariely, Jeff Kreisler</v>
      </c>
    </row>
    <row r="354" outlineLevel="1">
      <c r="A354" s="30"/>
      <c r="B354" s="59" t="str">
        <f t="shared" si="16"/>
        <v>Dreyer's English: An Utterly Correct Guide to Clarity and Style</v>
      </c>
      <c r="C354" s="32" t="s">
        <v>10</v>
      </c>
      <c r="D354" s="33"/>
      <c r="E354" s="33"/>
      <c r="F354" s="33" t="s">
        <v>51</v>
      </c>
      <c r="G354" s="36"/>
      <c r="H354" s="60" t="s">
        <v>639</v>
      </c>
      <c r="I354" s="36"/>
      <c r="J354" s="36" t="s">
        <v>640</v>
      </c>
      <c r="K354" s="60" t="str">
        <f t="shared" si="17"/>
        <v>Dreyer's English: An Utterly Correct Guide to Clarity and Style by Benjamin Dreyer</v>
      </c>
    </row>
    <row r="355" outlineLevel="1">
      <c r="A355" s="30"/>
      <c r="B355" s="59" t="str">
        <f t="shared" si="16"/>
        <v>Drop the Ball: Achieving More</v>
      </c>
      <c r="C355" s="32" t="s">
        <v>22</v>
      </c>
      <c r="D355" s="33"/>
      <c r="E355" s="33"/>
      <c r="F355" s="33" t="s">
        <v>51</v>
      </c>
      <c r="G355" s="36"/>
      <c r="H355" s="60" t="s">
        <v>641</v>
      </c>
      <c r="I355" s="36"/>
      <c r="J355" s="36" t="s">
        <v>642</v>
      </c>
      <c r="K355" s="60" t="str">
        <f t="shared" si="17"/>
        <v>Drop the Ball: Achieving More by Doing Less</v>
      </c>
    </row>
    <row r="356" outlineLevel="1">
      <c r="A356" s="30"/>
      <c r="B356" s="59" t="str">
        <f t="shared" si="16"/>
        <v>Ducks, Newburyport</v>
      </c>
      <c r="C356" s="32" t="s">
        <v>10</v>
      </c>
      <c r="D356" s="33"/>
      <c r="E356" s="33"/>
      <c r="F356" s="33" t="s">
        <v>51</v>
      </c>
      <c r="G356" s="36"/>
      <c r="H356" s="60" t="s">
        <v>643</v>
      </c>
      <c r="I356" s="36"/>
      <c r="J356" s="36" t="s">
        <v>644</v>
      </c>
      <c r="K356" s="60" t="str">
        <f t="shared" si="17"/>
        <v>Ducks, Newburyport by Lucy Ellmann</v>
      </c>
    </row>
    <row r="357" outlineLevel="1">
      <c r="A357" s="30"/>
      <c r="B357" s="59" t="str">
        <f t="shared" si="16"/>
        <v>Dungeon Crawler Carl</v>
      </c>
      <c r="C357" s="32" t="s">
        <v>10</v>
      </c>
      <c r="D357" s="33"/>
      <c r="E357" s="33"/>
      <c r="F357" s="33" t="s">
        <v>51</v>
      </c>
      <c r="G357" s="36"/>
      <c r="H357" s="60" t="s">
        <v>645</v>
      </c>
      <c r="I357" s="36"/>
      <c r="J357" s="36" t="s">
        <v>646</v>
      </c>
      <c r="K357" s="60" t="str">
        <f t="shared" si="17"/>
        <v>Dungeon Crawler Carl by Matt Dinniman</v>
      </c>
    </row>
    <row r="358" outlineLevel="1">
      <c r="A358" s="30"/>
      <c r="B358" s="59" t="str">
        <f t="shared" si="16"/>
        <v>Dying of Whiteness: How the Politics of Racial Resentment Is Killing America's Heartland</v>
      </c>
      <c r="C358" s="32" t="s">
        <v>10</v>
      </c>
      <c r="D358" s="33"/>
      <c r="E358" s="33"/>
      <c r="F358" s="33" t="s">
        <v>51</v>
      </c>
      <c r="G358" s="36"/>
      <c r="H358" s="60" t="s">
        <v>647</v>
      </c>
      <c r="I358" s="36"/>
      <c r="J358" s="36" t="s">
        <v>648</v>
      </c>
      <c r="K358" s="60" t="str">
        <f t="shared" si="17"/>
        <v>Dying of Whiteness: How the Politics of Racial Resentment Is Killing America's Heartland by Jonathan M. Metzl</v>
      </c>
    </row>
    <row r="359" outlineLevel="1">
      <c r="A359" s="30"/>
      <c r="B359" s="59" t="str">
        <f t="shared" si="16"/>
        <v>Eat the Buddha: Life and Death in a Tibetan Town</v>
      </c>
      <c r="C359" s="32" t="s">
        <v>22</v>
      </c>
      <c r="D359" s="33"/>
      <c r="E359" s="33"/>
      <c r="F359" s="33" t="s">
        <v>51</v>
      </c>
      <c r="G359" s="36"/>
      <c r="H359" s="60" t="s">
        <v>649</v>
      </c>
      <c r="I359" s="36"/>
      <c r="J359" s="36" t="s">
        <v>650</v>
      </c>
      <c r="K359" s="60" t="str">
        <f t="shared" si="17"/>
        <v>Eat the Buddha: Life and Death in a Tibetan Town by Barbara Demick</v>
      </c>
    </row>
    <row r="360" outlineLevel="1">
      <c r="A360" s="30"/>
      <c r="B360" s="59" t="str">
        <f t="shared" si="16"/>
        <v>Echoes of Memory</v>
      </c>
      <c r="C360" s="32" t="s">
        <v>10</v>
      </c>
      <c r="D360" s="33"/>
      <c r="E360" s="33"/>
      <c r="F360" s="33" t="s">
        <v>51</v>
      </c>
      <c r="G360" s="36"/>
      <c r="H360" s="60" t="s">
        <v>651</v>
      </c>
      <c r="I360" s="36"/>
      <c r="J360" s="36" t="s">
        <v>652</v>
      </c>
      <c r="K360" s="60" t="str">
        <f t="shared" si="17"/>
        <v>Echoes of Memory by Sara Driscoll</v>
      </c>
    </row>
    <row r="361" outlineLevel="1">
      <c r="A361" s="30"/>
      <c r="B361" s="59" t="str">
        <f t="shared" si="16"/>
        <v>Eden Mine: A Novel</v>
      </c>
      <c r="C361" s="32" t="s">
        <v>10</v>
      </c>
      <c r="D361" s="33"/>
      <c r="E361" s="33"/>
      <c r="F361" s="33" t="s">
        <v>51</v>
      </c>
      <c r="G361" s="36"/>
      <c r="H361" s="60" t="s">
        <v>653</v>
      </c>
      <c r="I361" s="36"/>
      <c r="J361" s="36" t="s">
        <v>654</v>
      </c>
      <c r="K361" s="60" t="str">
        <f t="shared" si="17"/>
        <v>Eden Mine: A Novel by S. M. Hulse</v>
      </c>
    </row>
    <row r="362" outlineLevel="1">
      <c r="A362" s="30"/>
      <c r="B362" s="59" t="str">
        <f t="shared" si="16"/>
        <v>Eightysomethings: A Practical Guide to Letting Go, Aging Well, and Finding Unexpected Happiness</v>
      </c>
      <c r="C362" s="32" t="s">
        <v>22</v>
      </c>
      <c r="D362" s="33"/>
      <c r="E362" s="33"/>
      <c r="F362" s="33" t="s">
        <v>51</v>
      </c>
      <c r="G362" s="36"/>
      <c r="H362" s="60" t="s">
        <v>655</v>
      </c>
      <c r="I362" s="36"/>
      <c r="J362" s="36" t="s">
        <v>656</v>
      </c>
      <c r="K362" s="60" t="str">
        <f t="shared" si="17"/>
        <v>Eightysomethings: A Practical Guide to Letting Go, Aging Well, and Finding Unexpected Happiness by Katharine Esty</v>
      </c>
    </row>
    <row r="363" outlineLevel="1">
      <c r="A363" s="30"/>
      <c r="B363" s="59" t="str">
        <f t="shared" si="16"/>
        <v>Einstein: His Life and Universe</v>
      </c>
      <c r="C363" s="32" t="s">
        <v>22</v>
      </c>
      <c r="D363" s="33"/>
      <c r="E363" s="33"/>
      <c r="F363" s="33" t="s">
        <v>51</v>
      </c>
      <c r="G363" s="36"/>
      <c r="H363" s="60" t="s">
        <v>461</v>
      </c>
      <c r="I363" s="36"/>
      <c r="J363" s="36" t="s">
        <v>657</v>
      </c>
      <c r="K363" s="60" t="str">
        <f t="shared" si="17"/>
        <v>Einstein: His Life and Universe by Walter Isaacson</v>
      </c>
    </row>
    <row r="364" outlineLevel="1">
      <c r="A364" s="30"/>
      <c r="B364" s="59" t="str">
        <f t="shared" si="16"/>
        <v>Eleanor &amp; Park</v>
      </c>
      <c r="C364" s="32" t="s">
        <v>10</v>
      </c>
      <c r="D364" s="33"/>
      <c r="E364" s="33"/>
      <c r="F364" s="33" t="s">
        <v>51</v>
      </c>
      <c r="G364" s="36"/>
      <c r="H364" s="60" t="s">
        <v>658</v>
      </c>
      <c r="I364" s="36"/>
      <c r="J364" s="36" t="s">
        <v>659</v>
      </c>
      <c r="K364" s="60" t="str">
        <f t="shared" si="17"/>
        <v>Eleanor &amp; Park by Rainbow Rowell</v>
      </c>
    </row>
    <row r="365" outlineLevel="1">
      <c r="A365" s="30"/>
      <c r="B365" s="59" t="str">
        <f t="shared" si="16"/>
        <v>Emotional Agility: Get Unstuck, Embrace Change, and Thrive in Work and Life</v>
      </c>
      <c r="C365" s="32" t="s">
        <v>22</v>
      </c>
      <c r="D365" s="33"/>
      <c r="E365" s="33"/>
      <c r="F365" s="33" t="s">
        <v>51</v>
      </c>
      <c r="G365" s="36"/>
      <c r="H365" s="60" t="s">
        <v>660</v>
      </c>
      <c r="I365" s="36"/>
      <c r="J365" s="36" t="s">
        <v>661</v>
      </c>
      <c r="K365" s="60" t="str">
        <f t="shared" si="17"/>
        <v>Emotional Agility: Get Unstuck, Embrace Change, and Thrive in Work and Life by Susan David</v>
      </c>
    </row>
    <row r="366" outlineLevel="1">
      <c r="A366" s="30"/>
      <c r="B366" s="59" t="str">
        <f t="shared" si="16"/>
        <v>Emperor of Rome: Ruling the Ancient World</v>
      </c>
      <c r="C366" s="32" t="s">
        <v>10</v>
      </c>
      <c r="D366" s="33"/>
      <c r="E366" s="33"/>
      <c r="F366" s="33" t="s">
        <v>51</v>
      </c>
      <c r="G366" s="36"/>
      <c r="H366" s="60" t="s">
        <v>662</v>
      </c>
      <c r="I366" s="36"/>
      <c r="J366" s="36" t="s">
        <v>663</v>
      </c>
      <c r="K366" s="60" t="str">
        <f t="shared" si="17"/>
        <v>Emperor of Rome: Ruling the Ancient World by Mary Beard</v>
      </c>
    </row>
    <row r="367" outlineLevel="1">
      <c r="A367" s="30"/>
      <c r="B367" s="59" t="str">
        <f t="shared" si="16"/>
        <v>Empire of the Summer Moon: Quanah Parker and the Rise and Fall of the Comanches, the Most Powerful Indian Tribe in American History</v>
      </c>
      <c r="C367" s="32" t="s">
        <v>10</v>
      </c>
      <c r="D367" s="33"/>
      <c r="E367" s="33"/>
      <c r="F367" s="33" t="s">
        <v>51</v>
      </c>
      <c r="G367" s="36"/>
      <c r="H367" s="60" t="s">
        <v>664</v>
      </c>
      <c r="I367" s="36"/>
      <c r="J367" s="36" t="s">
        <v>665</v>
      </c>
      <c r="K367" s="60" t="str">
        <f t="shared" si="17"/>
        <v>Empire of the Summer Moon: Quanah Parker and the Rise and Fall of the Comanches, the Most Powerful Indian Tribe in American History by S. C. Gwynne</v>
      </c>
    </row>
    <row r="368" outlineLevel="1">
      <c r="A368" s="30"/>
      <c r="B368" s="59" t="str">
        <f t="shared" si="16"/>
        <v>Empires of the Sky: Zeppelins, Airplanes, and Two Men's Epic Duel to Rule the World</v>
      </c>
      <c r="C368" s="32" t="s">
        <v>10</v>
      </c>
      <c r="D368" s="33"/>
      <c r="E368" s="33"/>
      <c r="F368" s="33" t="s">
        <v>51</v>
      </c>
      <c r="G368" s="36"/>
      <c r="H368" s="60" t="s">
        <v>666</v>
      </c>
      <c r="I368" s="36"/>
      <c r="J368" s="36" t="s">
        <v>667</v>
      </c>
      <c r="K368" s="60" t="str">
        <f t="shared" si="17"/>
        <v>Empires of the Sky: Zeppelins, Airplanes, and Two Men's Epic Duel to Rule the World by Alexander Rose</v>
      </c>
    </row>
    <row r="369" outlineLevel="1">
      <c r="A369" s="30"/>
      <c r="B369" s="59" t="str">
        <f t="shared" si="16"/>
        <v>Energy Leadership: The 7 Level Framework for Mastery In Life and Business</v>
      </c>
      <c r="C369" s="32" t="s">
        <v>22</v>
      </c>
      <c r="D369" s="33"/>
      <c r="E369" s="33"/>
      <c r="F369" s="33" t="s">
        <v>51</v>
      </c>
      <c r="G369" s="36"/>
      <c r="H369" s="60" t="s">
        <v>668</v>
      </c>
      <c r="I369" s="36"/>
      <c r="J369" s="36" t="s">
        <v>669</v>
      </c>
      <c r="K369" s="60" t="str">
        <f t="shared" si="17"/>
        <v>Energy Leadership: The 7 Level Framework for Mastery In Life and Business by Bruce D Schneider</v>
      </c>
    </row>
    <row r="370" outlineLevel="1">
      <c r="A370" s="30"/>
      <c r="B370" s="59" t="str">
        <f t="shared" si="16"/>
        <v>Enlightenment Now: The Case for Reason, Science, Humanism, and Progress</v>
      </c>
      <c r="C370" s="32" t="s">
        <v>22</v>
      </c>
      <c r="D370" s="33"/>
      <c r="E370" s="33"/>
      <c r="F370" s="33" t="s">
        <v>51</v>
      </c>
      <c r="G370" s="36"/>
      <c r="H370" s="60" t="s">
        <v>670</v>
      </c>
      <c r="I370" s="36"/>
      <c r="J370" s="36" t="s">
        <v>671</v>
      </c>
      <c r="K370" s="60" t="str">
        <f t="shared" si="17"/>
        <v>Enlightenment Now: The Case for Reason, Science, Humanism, and Progress by Steven Pinker</v>
      </c>
    </row>
    <row r="371" outlineLevel="1">
      <c r="A371" s="30"/>
      <c r="B371" s="59" t="str">
        <f t="shared" si="16"/>
        <v>Entering StartUpLand: An Essential Guide to Finding the Right Job</v>
      </c>
      <c r="C371" s="32" t="s">
        <v>22</v>
      </c>
      <c r="D371" s="33"/>
      <c r="E371" s="33"/>
      <c r="F371" s="33" t="s">
        <v>51</v>
      </c>
      <c r="G371" s="36"/>
      <c r="H371" s="60" t="s">
        <v>672</v>
      </c>
      <c r="I371" s="36"/>
      <c r="J371" s="36" t="s">
        <v>673</v>
      </c>
      <c r="K371" s="60" t="str">
        <f t="shared" si="17"/>
        <v>Entering StartUpLand: An Essential Guide to Finding the Right Job by Jeffrey Bussgang</v>
      </c>
    </row>
    <row r="372" outlineLevel="1">
      <c r="A372" s="30"/>
      <c r="B372" s="59" t="str">
        <f t="shared" si="16"/>
        <v>Errata: An Examined Life</v>
      </c>
      <c r="C372" s="32" t="s">
        <v>10</v>
      </c>
      <c r="D372" s="33"/>
      <c r="E372" s="33"/>
      <c r="F372" s="33" t="s">
        <v>51</v>
      </c>
      <c r="G372" s="36"/>
      <c r="H372" s="60" t="s">
        <v>674</v>
      </c>
      <c r="I372" s="36"/>
      <c r="J372" s="36" t="s">
        <v>675</v>
      </c>
      <c r="K372" s="60" t="str">
        <f t="shared" si="17"/>
        <v>Errata: An Examined Life by George Steiner</v>
      </c>
    </row>
    <row r="373" outlineLevel="1">
      <c r="A373" s="30"/>
      <c r="B373" s="59" t="str">
        <f t="shared" si="16"/>
        <v>Et al: Because not all research deserves a Nobel Prize</v>
      </c>
      <c r="C373" s="32" t="s">
        <v>22</v>
      </c>
      <c r="D373" s="33"/>
      <c r="E373" s="33"/>
      <c r="F373" s="33" t="s">
        <v>51</v>
      </c>
      <c r="G373" s="36"/>
      <c r="H373" s="60" t="s">
        <v>676</v>
      </c>
      <c r="I373" s="36"/>
      <c r="J373" s="36" t="s">
        <v>677</v>
      </c>
      <c r="K373" s="60" t="str">
        <f t="shared" si="17"/>
        <v>Et al: Because not all research deserves a Nobel Prize by B. McGraw</v>
      </c>
    </row>
    <row r="374" outlineLevel="1">
      <c r="A374" s="30"/>
      <c r="B374" s="59" t="str">
        <f t="shared" si="16"/>
        <v>Everyone in My Family Has Killed Someone: A Novel</v>
      </c>
      <c r="C374" s="32" t="s">
        <v>10</v>
      </c>
      <c r="D374" s="33"/>
      <c r="E374" s="33"/>
      <c r="F374" s="33" t="s">
        <v>51</v>
      </c>
      <c r="G374" s="36"/>
      <c r="H374" s="60" t="s">
        <v>678</v>
      </c>
      <c r="I374" s="36"/>
      <c r="J374" s="36" t="s">
        <v>679</v>
      </c>
      <c r="K374" s="60" t="str">
        <f t="shared" si="17"/>
        <v>Everyone in My Family Has Killed Someone: A Novel by Barton Welch, Benjamin Stevenson</v>
      </c>
    </row>
    <row r="375" outlineLevel="1">
      <c r="A375" s="30"/>
      <c r="B375" s="59" t="str">
        <f t="shared" si="16"/>
        <v>Everything Is Tuberculosis: The History and Persistence of Our Deadliest Infection</v>
      </c>
      <c r="C375" s="32" t="s">
        <v>22</v>
      </c>
      <c r="D375" s="33"/>
      <c r="E375" s="33"/>
      <c r="F375" s="33" t="s">
        <v>51</v>
      </c>
      <c r="G375" s="36"/>
      <c r="H375" s="60" t="s">
        <v>680</v>
      </c>
      <c r="I375" s="36"/>
      <c r="J375" s="36" t="s">
        <v>681</v>
      </c>
      <c r="K375" s="60" t="str">
        <f t="shared" si="17"/>
        <v>Everything Is Tuberculosis: The History and Persistence of Our Deadliest Infection by John Green, Listening Library</v>
      </c>
    </row>
    <row r="376" outlineLevel="1">
      <c r="A376" s="30"/>
      <c r="B376" s="59" t="str">
        <f t="shared" si="16"/>
        <v>Evicted: Poverty and Profit in the American City</v>
      </c>
      <c r="C376" s="32" t="s">
        <v>10</v>
      </c>
      <c r="D376" s="33"/>
      <c r="E376" s="33"/>
      <c r="F376" s="33" t="s">
        <v>51</v>
      </c>
      <c r="G376" s="36"/>
      <c r="H376" s="60" t="s">
        <v>682</v>
      </c>
      <c r="I376" s="36"/>
      <c r="J376" s="36" t="s">
        <v>683</v>
      </c>
      <c r="K376" s="60" t="str">
        <f t="shared" si="17"/>
        <v>Evicted: Poverty and Profit in the American City by Matthew Desmond</v>
      </c>
    </row>
    <row r="377" outlineLevel="1">
      <c r="A377" s="30"/>
      <c r="B377" s="59" t="str">
        <f t="shared" si="16"/>
        <v>Evita: The Life of Eva Perón</v>
      </c>
      <c r="C377" s="32" t="s">
        <v>22</v>
      </c>
      <c r="D377" s="33"/>
      <c r="E377" s="33"/>
      <c r="F377" s="33" t="s">
        <v>51</v>
      </c>
      <c r="G377" s="36"/>
      <c r="H377" s="60" t="s">
        <v>684</v>
      </c>
      <c r="I377" s="36"/>
      <c r="J377" s="36" t="s">
        <v>685</v>
      </c>
      <c r="K377" s="60" t="str">
        <f t="shared" si="17"/>
        <v>Evita: The Life of Eva Perón by Jill Hedges</v>
      </c>
    </row>
    <row r="378" outlineLevel="1">
      <c r="A378" s="30"/>
      <c r="B378" s="59" t="str">
        <f t="shared" si="16"/>
        <v>Examples: The Making of 40 Photographs</v>
      </c>
      <c r="C378" s="32" t="s">
        <v>22</v>
      </c>
      <c r="D378" s="33"/>
      <c r="E378" s="33"/>
      <c r="F378" s="33" t="s">
        <v>51</v>
      </c>
      <c r="G378" s="36"/>
      <c r="H378" s="60" t="s">
        <v>686</v>
      </c>
      <c r="I378" s="36"/>
      <c r="J378" s="36" t="s">
        <v>687</v>
      </c>
      <c r="K378" s="60" t="str">
        <f t="shared" si="17"/>
        <v>Examples: The Making of 40 Photographs by Ansel Adams</v>
      </c>
    </row>
    <row r="379" outlineLevel="1">
      <c r="A379" s="30"/>
      <c r="B379" s="59" t="str">
        <f t="shared" si="16"/>
        <v>Exiles</v>
      </c>
      <c r="C379" s="32" t="s">
        <v>10</v>
      </c>
      <c r="D379" s="33"/>
      <c r="E379" s="33"/>
      <c r="F379" s="33" t="s">
        <v>51</v>
      </c>
      <c r="G379" s="36"/>
      <c r="H379" s="60" t="s">
        <v>688</v>
      </c>
      <c r="I379" s="36"/>
      <c r="J379" s="36" t="s">
        <v>256</v>
      </c>
      <c r="K379" s="60" t="str">
        <f t="shared" si="17"/>
        <v>Exiles by Mason Coile</v>
      </c>
    </row>
    <row r="380" outlineLevel="1">
      <c r="A380" s="30"/>
      <c r="B380" s="59" t="str">
        <f t="shared" si="16"/>
        <v>Existential Psychotherapy</v>
      </c>
      <c r="C380" s="32" t="s">
        <v>22</v>
      </c>
      <c r="D380" s="33"/>
      <c r="E380" s="33"/>
      <c r="F380" s="33" t="s">
        <v>51</v>
      </c>
      <c r="G380" s="36"/>
      <c r="H380" s="60" t="s">
        <v>689</v>
      </c>
      <c r="I380" s="36"/>
      <c r="J380" s="36" t="s">
        <v>690</v>
      </c>
      <c r="K380" s="60" t="str">
        <f t="shared" si="17"/>
        <v>Existential Psychotherapy by Irvin D. Yalom</v>
      </c>
    </row>
    <row r="381" outlineLevel="1">
      <c r="A381" s="30"/>
      <c r="B381" s="59" t="str">
        <f t="shared" si="16"/>
        <v>Exodus: A Novel of Israel</v>
      </c>
      <c r="C381" s="32" t="s">
        <v>22</v>
      </c>
      <c r="D381" s="33"/>
      <c r="E381" s="33"/>
      <c r="F381" s="33" t="s">
        <v>51</v>
      </c>
      <c r="G381" s="36"/>
      <c r="H381" s="60" t="s">
        <v>691</v>
      </c>
      <c r="I381" s="36"/>
      <c r="J381" s="36" t="s">
        <v>692</v>
      </c>
      <c r="K381" s="60" t="str">
        <f t="shared" si="17"/>
        <v>Exodus: A Novel of Israel by Leon Uris</v>
      </c>
    </row>
    <row r="382" outlineLevel="1">
      <c r="A382" s="30"/>
      <c r="B382" s="59" t="str">
        <f t="shared" si="16"/>
        <v>Extremely Loud And Incredibly Close: A Novel</v>
      </c>
      <c r="C382" s="32" t="s">
        <v>10</v>
      </c>
      <c r="D382" s="33"/>
      <c r="E382" s="33"/>
      <c r="F382" s="33" t="s">
        <v>51</v>
      </c>
      <c r="G382" s="36"/>
      <c r="H382" s="60" t="s">
        <v>693</v>
      </c>
      <c r="I382" s="36"/>
      <c r="J382" s="36" t="s">
        <v>694</v>
      </c>
      <c r="K382" s="60" t="str">
        <f t="shared" si="17"/>
        <v>Extremely Loud And Incredibly Close: A Novel by Jonathan Safran Foer</v>
      </c>
    </row>
    <row r="383" outlineLevel="1">
      <c r="A383" s="30"/>
      <c r="B383" s="59" t="str">
        <f t="shared" si="16"/>
        <v>Eyes of the Void (The Final Architecture Book 2)</v>
      </c>
      <c r="C383" s="32" t="s">
        <v>10</v>
      </c>
      <c r="D383" s="33"/>
      <c r="E383" s="33"/>
      <c r="F383" s="33" t="s">
        <v>51</v>
      </c>
      <c r="G383" s="36"/>
      <c r="H383" s="60" t="s">
        <v>527</v>
      </c>
      <c r="I383" s="36"/>
      <c r="J383" s="36" t="s">
        <v>695</v>
      </c>
      <c r="K383" s="60" t="str">
        <f t="shared" si="17"/>
        <v>Eyes of the Void (The Final Architecture Book 2) by Adrian Tchaikovsky</v>
      </c>
    </row>
    <row r="384" outlineLevel="1">
      <c r="A384" s="30"/>
      <c r="B384" s="59" t="str">
        <f t="shared" si="16"/>
        <v>Factfulness: Ten Reasons We're Wrong About the World--and Why Things Are Better Than You Think</v>
      </c>
      <c r="C384" s="32" t="s">
        <v>22</v>
      </c>
      <c r="D384" s="33"/>
      <c r="E384" s="33"/>
      <c r="F384" s="33" t="s">
        <v>51</v>
      </c>
      <c r="G384" s="36"/>
      <c r="H384" s="60" t="s">
        <v>696</v>
      </c>
      <c r="I384" s="36"/>
      <c r="J384" s="36" t="s">
        <v>697</v>
      </c>
      <c r="K384" s="60" t="str">
        <f t="shared" si="17"/>
        <v>Factfulness: Ten Reasons We're Wrong About the World--and Why Things Are Better Than You Think by Hans Rosling, Anna Rosling Rönnlund</v>
      </c>
    </row>
    <row r="385" outlineLevel="1">
      <c r="A385" s="30"/>
      <c r="B385" s="59" t="str">
        <f t="shared" si="16"/>
        <v>Fairy Tale</v>
      </c>
      <c r="C385" s="32" t="s">
        <v>10</v>
      </c>
      <c r="D385" s="33"/>
      <c r="E385" s="33"/>
      <c r="F385" s="33" t="s">
        <v>51</v>
      </c>
      <c r="G385" s="36"/>
      <c r="H385" s="60" t="s">
        <v>698</v>
      </c>
      <c r="I385" s="36"/>
      <c r="J385" s="36" t="s">
        <v>699</v>
      </c>
      <c r="K385" s="60" t="str">
        <f t="shared" si="17"/>
        <v>Fairy Tale by Stephen King</v>
      </c>
    </row>
    <row r="386" outlineLevel="1">
      <c r="A386" s="30"/>
      <c r="B386" s="59" t="str">
        <f t="shared" si="16"/>
        <v>Fight Night</v>
      </c>
      <c r="C386" s="32" t="s">
        <v>10</v>
      </c>
      <c r="D386" s="33"/>
      <c r="E386" s="33"/>
      <c r="F386" s="33" t="s">
        <v>51</v>
      </c>
      <c r="G386" s="36"/>
      <c r="H386" s="60" t="s">
        <v>700</v>
      </c>
      <c r="I386" s="36"/>
      <c r="J386" s="36" t="s">
        <v>701</v>
      </c>
      <c r="K386" s="60" t="str">
        <f t="shared" si="17"/>
        <v>Fight Night by Miriam Toews</v>
      </c>
    </row>
    <row r="387" outlineLevel="1">
      <c r="A387" s="30"/>
      <c r="B387" s="59" t="str">
        <f t="shared" si="16"/>
        <v>Finite and Infinite Games</v>
      </c>
      <c r="C387" s="32" t="s">
        <v>22</v>
      </c>
      <c r="D387" s="33"/>
      <c r="E387" s="33"/>
      <c r="F387" s="33" t="s">
        <v>51</v>
      </c>
      <c r="G387" s="36"/>
      <c r="H387" s="60" t="s">
        <v>702</v>
      </c>
      <c r="I387" s="36"/>
      <c r="J387" s="36" t="s">
        <v>703</v>
      </c>
      <c r="K387" s="60" t="str">
        <f t="shared" si="17"/>
        <v>Finite and Infinite Games by James P. Carse</v>
      </c>
    </row>
    <row r="388" outlineLevel="1">
      <c r="A388" s="30"/>
      <c r="B388" s="59" t="str">
        <f t="shared" si="16"/>
        <v>Fire and Roses: The Burning of the Charlestown Convent, 1834</v>
      </c>
      <c r="C388" s="32" t="s">
        <v>10</v>
      </c>
      <c r="D388" s="33"/>
      <c r="E388" s="33"/>
      <c r="F388" s="33" t="s">
        <v>51</v>
      </c>
      <c r="G388" s="36"/>
      <c r="H388" s="60" t="s">
        <v>704</v>
      </c>
      <c r="I388" s="36"/>
      <c r="J388" s="36" t="s">
        <v>705</v>
      </c>
      <c r="K388" s="60" t="str">
        <f t="shared" si="17"/>
        <v>Fire and Roses: The Burning of the Charlestown Convent, 1834 by Nancy Lusignan Schultz</v>
      </c>
    </row>
    <row r="389" outlineLevel="1">
      <c r="A389" s="30"/>
      <c r="B389" s="59" t="str">
        <f t="shared" si="16"/>
        <v>Flash Boys: A Wall Street Revolt</v>
      </c>
      <c r="C389" s="32" t="s">
        <v>10</v>
      </c>
      <c r="D389" s="33"/>
      <c r="E389" s="33"/>
      <c r="F389" s="33" t="s">
        <v>51</v>
      </c>
      <c r="G389" s="36"/>
      <c r="H389" s="60" t="s">
        <v>706</v>
      </c>
      <c r="I389" s="36"/>
      <c r="J389" s="36" t="s">
        <v>707</v>
      </c>
      <c r="K389" s="60" t="str">
        <f t="shared" si="17"/>
        <v>Flash Boys: A Wall Street Revolt by Michael Lewis</v>
      </c>
    </row>
    <row r="390" outlineLevel="1">
      <c r="A390" s="30"/>
      <c r="B390" s="59" t="str">
        <f t="shared" si="16"/>
        <v>Flight Behavior: A Novel</v>
      </c>
      <c r="C390" s="32" t="s">
        <v>10</v>
      </c>
      <c r="D390" s="33"/>
      <c r="E390" s="33"/>
      <c r="F390" s="33" t="s">
        <v>51</v>
      </c>
      <c r="G390" s="36"/>
      <c r="H390" s="60" t="s">
        <v>708</v>
      </c>
      <c r="I390" s="36"/>
      <c r="J390" s="36" t="s">
        <v>709</v>
      </c>
      <c r="K390" s="60" t="str">
        <f t="shared" si="17"/>
        <v>Flight Behavior: A Novel by Barbara Kingsolver</v>
      </c>
    </row>
    <row r="391" outlineLevel="1">
      <c r="A391" s="30"/>
      <c r="B391" s="59" t="str">
        <f t="shared" si="16"/>
        <v>Forgotten Journey</v>
      </c>
      <c r="C391" s="32" t="s">
        <v>10</v>
      </c>
      <c r="D391" s="33"/>
      <c r="E391" s="33"/>
      <c r="F391" s="33" t="s">
        <v>51</v>
      </c>
      <c r="G391" s="36"/>
      <c r="H391" s="60" t="s">
        <v>710</v>
      </c>
      <c r="I391" s="36"/>
      <c r="J391" s="36" t="s">
        <v>711</v>
      </c>
      <c r="K391" s="60" t="str">
        <f t="shared" si="17"/>
        <v>Forgotten Journey by Silvina Ocampo, Suzanne Jill Levine</v>
      </c>
    </row>
    <row r="392" outlineLevel="1">
      <c r="A392" s="30"/>
      <c r="B392" s="59" t="str">
        <f t="shared" si="16"/>
        <v>Founding Brothers: The Revolutionary Generation</v>
      </c>
      <c r="C392" s="32" t="s">
        <v>10</v>
      </c>
      <c r="D392" s="33"/>
      <c r="E392" s="33"/>
      <c r="F392" s="33" t="s">
        <v>51</v>
      </c>
      <c r="G392" s="36"/>
      <c r="H392" s="60" t="s">
        <v>712</v>
      </c>
      <c r="I392" s="36"/>
      <c r="J392" s="36" t="s">
        <v>713</v>
      </c>
      <c r="K392" s="60" t="str">
        <f t="shared" si="17"/>
        <v>Founding Brothers: The Revolutionary Generation by Joseph J. Ellis</v>
      </c>
    </row>
    <row r="393" outlineLevel="1">
      <c r="A393" s="30"/>
      <c r="B393" s="59" t="str">
        <f t="shared" si="16"/>
        <v>Four Ways to Click: Rewire Your Brain for Stronger, More Rewarding Relationships</v>
      </c>
      <c r="C393" s="32" t="s">
        <v>10</v>
      </c>
      <c r="D393" s="33"/>
      <c r="E393" s="33"/>
      <c r="F393" s="33" t="s">
        <v>51</v>
      </c>
      <c r="G393" s="36"/>
      <c r="H393" s="60" t="s">
        <v>714</v>
      </c>
      <c r="I393" s="36"/>
      <c r="J393" s="36" t="s">
        <v>715</v>
      </c>
      <c r="K393" s="60" t="str">
        <f t="shared" si="17"/>
        <v>Four Ways to Click: Rewire Your Brain for Stronger, More Rewarding Relationships by Amy Banks, Leigh Ann Hirschman</v>
      </c>
    </row>
    <row r="394" outlineLevel="1">
      <c r="A394" s="30"/>
      <c r="B394" s="59" t="str">
        <f t="shared" si="16"/>
        <v>Frames of Mind: The Theory of Multiple Intelligences</v>
      </c>
      <c r="C394" s="32" t="s">
        <v>22</v>
      </c>
      <c r="D394" s="33"/>
      <c r="E394" s="33"/>
      <c r="F394" s="33" t="s">
        <v>51</v>
      </c>
      <c r="G394" s="36"/>
      <c r="H394" s="60" t="s">
        <v>716</v>
      </c>
      <c r="I394" s="36"/>
      <c r="J394" s="36" t="s">
        <v>717</v>
      </c>
      <c r="K394" s="60" t="str">
        <f t="shared" si="17"/>
        <v>Frames of Mind: The Theory of Multiple Intelligences by Vanessa Johansson, Howard Gardner</v>
      </c>
    </row>
    <row r="395" outlineLevel="1">
      <c r="A395" s="30"/>
      <c r="B395" s="59" t="str">
        <f t="shared" si="16"/>
        <v>From Bacteria to Bach and Back: The Evolution of Minds</v>
      </c>
      <c r="C395" s="32" t="s">
        <v>22</v>
      </c>
      <c r="D395" s="33"/>
      <c r="E395" s="33"/>
      <c r="F395" s="33" t="s">
        <v>51</v>
      </c>
      <c r="G395" s="36"/>
      <c r="H395" s="60" t="s">
        <v>596</v>
      </c>
      <c r="I395" s="36"/>
      <c r="J395" s="36" t="s">
        <v>718</v>
      </c>
      <c r="K395" s="60" t="str">
        <f t="shared" si="17"/>
        <v>From Bacteria to Bach and Back: The Evolution of Minds by Daniel C. Dennett</v>
      </c>
    </row>
    <row r="396" outlineLevel="1">
      <c r="A396" s="30"/>
      <c r="B396" s="59" t="str">
        <f t="shared" si="16"/>
        <v>From Strength to Strength: Finding Success, Happiness, and Deep Purpose in the Second Half of Life</v>
      </c>
      <c r="C396" s="32" t="s">
        <v>10</v>
      </c>
      <c r="D396" s="33"/>
      <c r="E396" s="33"/>
      <c r="F396" s="33" t="s">
        <v>51</v>
      </c>
      <c r="G396" s="36"/>
      <c r="H396" s="60" t="s">
        <v>719</v>
      </c>
      <c r="I396" s="36"/>
      <c r="J396" s="36" t="s">
        <v>720</v>
      </c>
      <c r="K396" s="60" t="str">
        <f t="shared" si="17"/>
        <v>From Strength to Strength: Finding Success, Happiness, and Deep Purpose in the Second Half of Life by Arthur C. Brooks</v>
      </c>
    </row>
    <row r="397" outlineLevel="1">
      <c r="A397" s="30"/>
      <c r="B397" s="59" t="str">
        <f t="shared" si="16"/>
        <v>Full Catastrophe Living: Using the Wisdom of Your Body and Mind to Face Stress, Pain, and Illness</v>
      </c>
      <c r="C397" s="32" t="s">
        <v>22</v>
      </c>
      <c r="D397" s="33"/>
      <c r="E397" s="33"/>
      <c r="F397" s="33" t="s">
        <v>51</v>
      </c>
      <c r="G397" s="36"/>
      <c r="H397" s="60" t="s">
        <v>721</v>
      </c>
      <c r="I397" s="36"/>
      <c r="J397" s="36" t="s">
        <v>722</v>
      </c>
      <c r="K397" s="60" t="str">
        <f t="shared" si="17"/>
        <v>Full Catastrophe Living: Using the Wisdom of Your Body and Mind to Face Stress, Pain, and Illness by Jon Kabat-Zinn, Thich Nhat Hanh</v>
      </c>
    </row>
    <row r="398" outlineLevel="1">
      <c r="A398" s="30"/>
      <c r="B398" s="59" t="str">
        <f t="shared" si="16"/>
        <v>Furious Hours: Murder, Fraud, and the Last Trial of Harper Lee (Random House Large Print)</v>
      </c>
      <c r="C398" s="32" t="s">
        <v>10</v>
      </c>
      <c r="D398" s="33"/>
      <c r="E398" s="33"/>
      <c r="F398" s="33" t="s">
        <v>51</v>
      </c>
      <c r="G398" s="36"/>
      <c r="H398" s="60" t="s">
        <v>723</v>
      </c>
      <c r="I398" s="36"/>
      <c r="J398" s="36" t="s">
        <v>724</v>
      </c>
      <c r="K398" s="60" t="str">
        <f t="shared" si="17"/>
        <v>Furious Hours: Murder, Fraud, and the Last Trial of Harper Lee (Random House Large Print) by Casey Cep</v>
      </c>
    </row>
    <row r="399" outlineLevel="1">
      <c r="A399" s="30"/>
      <c r="B399" s="59" t="str">
        <f t="shared" si="16"/>
        <v>Fuzz: When Nature Breaks the Law</v>
      </c>
      <c r="C399" s="32" t="s">
        <v>10</v>
      </c>
      <c r="D399" s="33"/>
      <c r="E399" s="33"/>
      <c r="F399" s="33" t="s">
        <v>51</v>
      </c>
      <c r="G399" s="36"/>
      <c r="H399" s="60" t="s">
        <v>725</v>
      </c>
      <c r="I399" s="36"/>
      <c r="J399" s="36" t="s">
        <v>726</v>
      </c>
      <c r="K399" s="60" t="str">
        <f t="shared" si="17"/>
        <v>Fuzz: When Nature Breaks the Law by Mary Roach</v>
      </c>
    </row>
    <row r="400" outlineLevel="1">
      <c r="A400" s="30"/>
      <c r="B400" s="59" t="str">
        <f t="shared" si="16"/>
        <v>Get a Life, Chloe Brown: A Novel (The Brown Sisters, 1)</v>
      </c>
      <c r="C400" s="32" t="s">
        <v>10</v>
      </c>
      <c r="D400" s="33"/>
      <c r="E400" s="33"/>
      <c r="F400" s="33" t="s">
        <v>51</v>
      </c>
      <c r="G400" s="36"/>
      <c r="H400" s="60" t="s">
        <v>727</v>
      </c>
      <c r="I400" s="36"/>
      <c r="J400" s="36" t="s">
        <v>728</v>
      </c>
      <c r="K400" s="60" t="str">
        <f t="shared" si="17"/>
        <v>Get a Life, Chloe Brown: A Novel (The Brown Sisters, 1) by Talia Hibbert</v>
      </c>
    </row>
    <row r="401" outlineLevel="1">
      <c r="A401" s="30"/>
      <c r="B401" s="59" t="str">
        <f t="shared" si="16"/>
        <v>Getting Real: 10 Truth Skills You Need to Live an Authentic Life</v>
      </c>
      <c r="C401" s="32" t="s">
        <v>22</v>
      </c>
      <c r="D401" s="33"/>
      <c r="E401" s="33"/>
      <c r="F401" s="33" t="s">
        <v>51</v>
      </c>
      <c r="G401" s="36"/>
      <c r="H401" s="60" t="s">
        <v>729</v>
      </c>
      <c r="I401" s="36"/>
      <c r="J401" s="36" t="s">
        <v>730</v>
      </c>
      <c r="K401" s="60" t="str">
        <f t="shared" si="17"/>
        <v>Getting Real: 10 Truth Skills You Need to Live an Authentic Life by Ph.D. Susan Campbell</v>
      </c>
    </row>
    <row r="402" outlineLevel="1">
      <c r="A402" s="30"/>
      <c r="B402" s="59" t="str">
        <f t="shared" si="16"/>
        <v>Ghostman</v>
      </c>
      <c r="C402" s="32" t="s">
        <v>10</v>
      </c>
      <c r="D402" s="33"/>
      <c r="E402" s="33"/>
      <c r="F402" s="33" t="s">
        <v>51</v>
      </c>
      <c r="G402" s="36" t="s">
        <v>731</v>
      </c>
      <c r="H402" s="60" t="s">
        <v>732</v>
      </c>
      <c r="I402" s="36"/>
      <c r="J402" s="36" t="s">
        <v>733</v>
      </c>
      <c r="K402" s="60" t="str">
        <f t="shared" si="17"/>
        <v>Ghostman by Roger Hobbs</v>
      </c>
    </row>
    <row r="403" outlineLevel="1">
      <c r="A403" s="30"/>
      <c r="B403" s="59" t="str">
        <f t="shared" si="16"/>
        <v>God - the Failed Hypothesis: How Science Shows That God Does Not Exist</v>
      </c>
      <c r="C403" s="32" t="s">
        <v>22</v>
      </c>
      <c r="D403" s="33"/>
      <c r="E403" s="33"/>
      <c r="F403" s="33" t="s">
        <v>51</v>
      </c>
      <c r="G403" s="36"/>
      <c r="H403" s="60" t="s">
        <v>734</v>
      </c>
      <c r="I403" s="36"/>
      <c r="J403" s="36" t="s">
        <v>735</v>
      </c>
      <c r="K403" s="60" t="str">
        <f t="shared" si="17"/>
        <v>God - the Failed Hypothesis: How Science Shows That God Does Not Exist by Victor J. Stenger, David Smalley</v>
      </c>
    </row>
    <row r="404" outlineLevel="1">
      <c r="A404" s="30"/>
      <c r="B404" s="59" t="str">
        <f t="shared" si="16"/>
        <v>Goddess of Anarchy: : The Life and Times of Lucy Parsons, American Radical</v>
      </c>
      <c r="C404" s="32" t="s">
        <v>10</v>
      </c>
      <c r="D404" s="33"/>
      <c r="E404" s="33"/>
      <c r="F404" s="33" t="s">
        <v>51</v>
      </c>
      <c r="G404" s="36"/>
      <c r="H404" s="60" t="s">
        <v>736</v>
      </c>
      <c r="I404" s="36"/>
      <c r="J404" s="36" t="s">
        <v>737</v>
      </c>
      <c r="K404" s="60" t="str">
        <f t="shared" si="17"/>
        <v>Goddess of Anarchy: : The Life and Times of Lucy Parsons, American Radical by Nylsa Smallwood, Jacqueline Jones</v>
      </c>
    </row>
    <row r="405" outlineLevel="1">
      <c r="A405" s="30"/>
      <c r="B405" s="59" t="str">
        <f t="shared" si="16"/>
        <v>Gödel's Proof</v>
      </c>
      <c r="C405" s="32" t="s">
        <v>22</v>
      </c>
      <c r="D405" s="33"/>
      <c r="E405" s="33"/>
      <c r="F405" s="33" t="s">
        <v>51</v>
      </c>
      <c r="G405" s="36"/>
      <c r="H405" s="60" t="s">
        <v>738</v>
      </c>
      <c r="I405" s="36"/>
      <c r="J405" s="36" t="s">
        <v>739</v>
      </c>
      <c r="K405" s="60" t="str">
        <f t="shared" si="17"/>
        <v>Gödel's Proof by Ernest Nagel, James Newman</v>
      </c>
    </row>
    <row r="406" outlineLevel="1">
      <c r="A406" s="30"/>
      <c r="B406" s="59" t="str">
        <f t="shared" si="16"/>
        <v>Good Lookin': A Joe Turner Mystery</v>
      </c>
      <c r="C406" s="32" t="s">
        <v>10</v>
      </c>
      <c r="D406" s="33"/>
      <c r="E406" s="33"/>
      <c r="F406" s="33" t="s">
        <v>51</v>
      </c>
      <c r="G406" s="36"/>
      <c r="H406" s="60" t="s">
        <v>740</v>
      </c>
      <c r="I406" s="36"/>
      <c r="J406" s="36" t="s">
        <v>741</v>
      </c>
      <c r="K406" s="60" t="str">
        <f t="shared" si="17"/>
        <v>Good Lookin': A Joe Turner Mystery by T L Bequette</v>
      </c>
    </row>
    <row r="407" outlineLevel="1">
      <c r="A407" s="30"/>
      <c r="B407" s="59" t="str">
        <f t="shared" si="16"/>
        <v>Good Soldiers, The</v>
      </c>
      <c r="C407" s="32" t="s">
        <v>10</v>
      </c>
      <c r="D407" s="33"/>
      <c r="E407" s="33"/>
      <c r="F407" s="33" t="s">
        <v>51</v>
      </c>
      <c r="G407" s="36"/>
      <c r="H407" s="60" t="s">
        <v>742</v>
      </c>
      <c r="I407" s="36"/>
      <c r="J407" s="36" t="s">
        <v>743</v>
      </c>
      <c r="K407" s="60" t="str">
        <f t="shared" si="17"/>
        <v>Good Soldiers, The by David Finkel</v>
      </c>
    </row>
    <row r="408" outlineLevel="1">
      <c r="A408" s="30"/>
      <c r="B408" s="59" t="str">
        <f t="shared" si="16"/>
        <v>Grace: President Obama and Ten Days in the Battle for America</v>
      </c>
      <c r="C408" s="32" t="s">
        <v>10</v>
      </c>
      <c r="D408" s="33"/>
      <c r="E408" s="33"/>
      <c r="F408" s="33" t="s">
        <v>51</v>
      </c>
      <c r="G408" s="36"/>
      <c r="H408" s="60" t="s">
        <v>744</v>
      </c>
      <c r="I408" s="36"/>
      <c r="J408" s="36" t="s">
        <v>745</v>
      </c>
      <c r="K408" s="60" t="str">
        <f t="shared" si="17"/>
        <v>Grace: President Obama and Ten Days in the Battle for America by Cody Keenan</v>
      </c>
    </row>
    <row r="409" outlineLevel="1">
      <c r="A409" s="30"/>
      <c r="B409" s="59" t="str">
        <f t="shared" si="16"/>
        <v>Grand Union: Stories</v>
      </c>
      <c r="C409" s="32" t="s">
        <v>10</v>
      </c>
      <c r="D409" s="33"/>
      <c r="E409" s="33"/>
      <c r="F409" s="33" t="s">
        <v>51</v>
      </c>
      <c r="G409" s="36"/>
      <c r="H409" s="60" t="s">
        <v>746</v>
      </c>
      <c r="I409" s="36"/>
      <c r="J409" s="36" t="s">
        <v>747</v>
      </c>
      <c r="K409" s="60" t="str">
        <f t="shared" si="17"/>
        <v>Grand Union: Stories by Zadie Smith</v>
      </c>
    </row>
    <row r="410" outlineLevel="1">
      <c r="A410" s="30"/>
      <c r="B410" s="59" t="str">
        <f t="shared" si="16"/>
        <v>Great Circle: A Read with Jenna Pick: A Novel (Man Booker Prize Finalist)</v>
      </c>
      <c r="C410" s="32" t="s">
        <v>10</v>
      </c>
      <c r="D410" s="33"/>
      <c r="E410" s="33"/>
      <c r="F410" s="33" t="s">
        <v>51</v>
      </c>
      <c r="G410" s="36"/>
      <c r="H410" s="60" t="s">
        <v>748</v>
      </c>
      <c r="I410" s="36"/>
      <c r="J410" s="36" t="s">
        <v>749</v>
      </c>
      <c r="K410" s="60" t="str">
        <f t="shared" si="17"/>
        <v>Great Circle: A Read with Jenna Pick: A Novel (Man Booker Prize Finalist) by Maggie Shipstead</v>
      </c>
    </row>
    <row r="411" outlineLevel="1">
      <c r="A411" s="30"/>
      <c r="B411" s="59" t="str">
        <f t="shared" si="16"/>
        <v>Great Naval Battles of the Twentieth Century: Tsushima, Jutland, Midway</v>
      </c>
      <c r="C411" s="32" t="s">
        <v>10</v>
      </c>
      <c r="D411" s="33"/>
      <c r="E411" s="33"/>
      <c r="F411" s="33" t="s">
        <v>51</v>
      </c>
      <c r="G411" s="36"/>
      <c r="H411" s="60" t="s">
        <v>750</v>
      </c>
      <c r="I411" s="36"/>
      <c r="J411" s="36" t="s">
        <v>751</v>
      </c>
      <c r="K411" s="60" t="str">
        <f t="shared" si="17"/>
        <v>Great Naval Battles of the Twentieth Century: Tsushima, Jutland, Midway by E. Joe Johnson PhD., Giuseppe Baiguera</v>
      </c>
    </row>
    <row r="412" outlineLevel="1">
      <c r="A412" s="30"/>
      <c r="B412" s="59" t="str">
        <f t="shared" si="16"/>
        <v>Grit: The Power of Passion and Perseverance</v>
      </c>
      <c r="C412" s="32" t="s">
        <v>22</v>
      </c>
      <c r="D412" s="33"/>
      <c r="E412" s="33"/>
      <c r="F412" s="33" t="s">
        <v>51</v>
      </c>
      <c r="G412" s="36"/>
      <c r="H412" s="60" t="s">
        <v>752</v>
      </c>
      <c r="I412" s="36"/>
      <c r="J412" s="36" t="s">
        <v>753</v>
      </c>
      <c r="K412" s="60" t="str">
        <f t="shared" si="17"/>
        <v>Grit: The Power of Passion and Perseverance by Angela Duckworth</v>
      </c>
    </row>
    <row r="413" outlineLevel="1">
      <c r="A413" s="30"/>
      <c r="B413" s="59" t="str">
        <f t="shared" si="16"/>
        <v>Happy Money: The Japanese Art of Making Peace with Your Money</v>
      </c>
      <c r="C413" s="32" t="s">
        <v>10</v>
      </c>
      <c r="D413" s="33"/>
      <c r="E413" s="33"/>
      <c r="F413" s="33" t="s">
        <v>51</v>
      </c>
      <c r="G413" s="36"/>
      <c r="H413" s="60" t="s">
        <v>754</v>
      </c>
      <c r="I413" s="36"/>
      <c r="J413" s="36" t="s">
        <v>755</v>
      </c>
      <c r="K413" s="60" t="str">
        <f t="shared" si="17"/>
        <v>Happy Money: The Japanese Art of Making Peace with Your Money by Ken Honda</v>
      </c>
    </row>
    <row r="414" outlineLevel="1">
      <c r="A414" s="30"/>
      <c r="B414" s="59" t="str">
        <f t="shared" si="16"/>
        <v>Happy: Why More or Less Everything Is Fine</v>
      </c>
      <c r="C414" s="32" t="s">
        <v>10</v>
      </c>
      <c r="D414" s="33"/>
      <c r="E414" s="33"/>
      <c r="F414" s="33" t="s">
        <v>51</v>
      </c>
      <c r="G414" s="36"/>
      <c r="H414" s="60" t="s">
        <v>756</v>
      </c>
      <c r="I414" s="36"/>
      <c r="J414" s="36" t="s">
        <v>757</v>
      </c>
      <c r="K414" s="60" t="str">
        <f t="shared" si="17"/>
        <v>Happy: Why More or Less Everything Is Fine by Derren Brown</v>
      </c>
    </row>
    <row r="415" outlineLevel="1">
      <c r="A415" s="30"/>
      <c r="B415" s="59" t="str">
        <f t="shared" si="16"/>
        <v>Harness the Sun: America's Quest for a Solar-Powered Future</v>
      </c>
      <c r="C415" s="32" t="s">
        <v>10</v>
      </c>
      <c r="D415" s="33"/>
      <c r="E415" s="33"/>
      <c r="F415" s="33" t="s">
        <v>51</v>
      </c>
      <c r="G415" s="36"/>
      <c r="H415" s="60" t="s">
        <v>758</v>
      </c>
      <c r="I415" s="36"/>
      <c r="J415" s="36" t="s">
        <v>759</v>
      </c>
      <c r="K415" s="60" t="str">
        <f t="shared" si="17"/>
        <v>Harness the Sun: America's Quest for a Solar-Powered Future by Philip Warburg</v>
      </c>
    </row>
    <row r="416" outlineLevel="1">
      <c r="A416" s="30"/>
      <c r="B416" s="59" t="str">
        <f t="shared" si="16"/>
        <v>Havana Nocturne: How the Mob Owned Cuba and Then Lost It to the Revolution</v>
      </c>
      <c r="C416" s="32" t="s">
        <v>10</v>
      </c>
      <c r="D416" s="33"/>
      <c r="E416" s="33"/>
      <c r="F416" s="33" t="s">
        <v>51</v>
      </c>
      <c r="G416" s="36"/>
      <c r="H416" s="60" t="s">
        <v>760</v>
      </c>
      <c r="I416" s="36"/>
      <c r="J416" s="36" t="s">
        <v>761</v>
      </c>
      <c r="K416" s="60" t="str">
        <f t="shared" si="17"/>
        <v>Havana Nocturne: How the Mob Owned Cuba and Then Lost It to the Revolution by T. J. English</v>
      </c>
    </row>
    <row r="417" outlineLevel="1">
      <c r="A417" s="30"/>
      <c r="B417" s="59" t="str">
        <f t="shared" si="16"/>
        <v>Headshot: A Novel</v>
      </c>
      <c r="C417" s="32" t="s">
        <v>10</v>
      </c>
      <c r="D417" s="33"/>
      <c r="E417" s="33"/>
      <c r="F417" s="33" t="s">
        <v>51</v>
      </c>
      <c r="G417" s="36"/>
      <c r="H417" s="60" t="s">
        <v>762</v>
      </c>
      <c r="I417" s="36"/>
      <c r="J417" s="36" t="s">
        <v>763</v>
      </c>
      <c r="K417" s="60" t="str">
        <f t="shared" si="17"/>
        <v>Headshot: A Novel by Rita Bullwinkel</v>
      </c>
    </row>
    <row r="418" outlineLevel="1">
      <c r="A418" s="30"/>
      <c r="B418" s="59" t="str">
        <f t="shared" si="16"/>
        <v>Heart-Shaped Box</v>
      </c>
      <c r="C418" s="32" t="s">
        <v>10</v>
      </c>
      <c r="D418" s="33"/>
      <c r="E418" s="33"/>
      <c r="F418" s="33" t="s">
        <v>51</v>
      </c>
      <c r="G418" s="36"/>
      <c r="H418" s="60" t="s">
        <v>283</v>
      </c>
      <c r="I418" s="36"/>
      <c r="J418" s="36" t="s">
        <v>764</v>
      </c>
      <c r="K418" s="60" t="str">
        <f t="shared" si="17"/>
        <v>Heart-Shaped Box by Joe Hill</v>
      </c>
    </row>
    <row r="419" outlineLevel="1">
      <c r="A419" s="30"/>
      <c r="B419" s="59" t="str">
        <f t="shared" si="16"/>
        <v>Heir to the Empire: Star Wars Legends (The Thrawn Trilogy) (Star Wars: The Thrawn Trilogy Book 1)</v>
      </c>
      <c r="C419" s="32" t="s">
        <v>10</v>
      </c>
      <c r="D419" s="33"/>
      <c r="E419" s="33"/>
      <c r="F419" s="33" t="s">
        <v>51</v>
      </c>
      <c r="G419" s="36"/>
      <c r="H419" s="60" t="s">
        <v>765</v>
      </c>
      <c r="I419" s="36"/>
      <c r="J419" s="36" t="s">
        <v>766</v>
      </c>
      <c r="K419" s="60" t="str">
        <f t="shared" si="17"/>
        <v>Heir to the Empire: Star Wars Legends (The Thrawn Trilogy) (Star Wars: The Thrawn Trilogy Book 1) by Timothy Zahn</v>
      </c>
    </row>
    <row r="420" outlineLevel="1">
      <c r="A420" s="30"/>
      <c r="B420" s="59" t="str">
        <f t="shared" si="16"/>
        <v>Helping: How to Offer, Give, and Receive Help</v>
      </c>
      <c r="C420" s="32" t="s">
        <v>10</v>
      </c>
      <c r="D420" s="33"/>
      <c r="E420" s="33"/>
      <c r="F420" s="33" t="s">
        <v>51</v>
      </c>
      <c r="G420" s="36"/>
      <c r="H420" s="60" t="s">
        <v>767</v>
      </c>
      <c r="I420" s="36"/>
      <c r="J420" s="36" t="s">
        <v>768</v>
      </c>
      <c r="K420" s="60" t="str">
        <f t="shared" si="17"/>
        <v>Helping: How to Offer, Give, and Receive Help by Edgar H. Schein</v>
      </c>
    </row>
    <row r="421" outlineLevel="1">
      <c r="A421" s="30"/>
      <c r="B421" s="59" t="str">
        <f t="shared" si="16"/>
        <v>Her Again: Becoming Meryl Streep</v>
      </c>
      <c r="C421" s="32" t="s">
        <v>10</v>
      </c>
      <c r="D421" s="33"/>
      <c r="E421" s="33"/>
      <c r="F421" s="33" t="s">
        <v>51</v>
      </c>
      <c r="G421" s="36"/>
      <c r="H421" s="60" t="s">
        <v>769</v>
      </c>
      <c r="I421" s="36"/>
      <c r="J421" s="36" t="s">
        <v>770</v>
      </c>
      <c r="K421" s="60" t="str">
        <f t="shared" si="17"/>
        <v>Her Again: Becoming Meryl Streep by Michael Schulman</v>
      </c>
    </row>
    <row r="422" outlineLevel="1">
      <c r="A422" s="30"/>
      <c r="B422" s="59" t="str">
        <f t="shared" si="16"/>
        <v>Here Comes Everybody: The Power of Organizing Without Organizations</v>
      </c>
      <c r="C422" s="32" t="s">
        <v>22</v>
      </c>
      <c r="D422" s="33"/>
      <c r="E422" s="33"/>
      <c r="F422" s="33" t="s">
        <v>51</v>
      </c>
      <c r="G422" s="36"/>
      <c r="H422" s="60" t="s">
        <v>771</v>
      </c>
      <c r="I422" s="36"/>
      <c r="J422" s="36" t="s">
        <v>772</v>
      </c>
      <c r="K422" s="60" t="str">
        <f t="shared" si="17"/>
        <v>Here Comes Everybody: The Power of Organizing Without Organizations by Clay Shirky</v>
      </c>
    </row>
    <row r="423" outlineLevel="1">
      <c r="A423" s="30"/>
      <c r="B423" s="59" t="str">
        <f t="shared" si="16"/>
        <v>Here’s the Deal</v>
      </c>
      <c r="C423" s="32" t="s">
        <v>10</v>
      </c>
      <c r="D423" s="33"/>
      <c r="E423" s="33"/>
      <c r="F423" s="33" t="s">
        <v>51</v>
      </c>
      <c r="G423" s="36"/>
      <c r="H423" s="60" t="s">
        <v>773</v>
      </c>
      <c r="I423" s="36"/>
      <c r="J423" s="36" t="s">
        <v>774</v>
      </c>
      <c r="K423" s="60" t="str">
        <f t="shared" si="17"/>
        <v>Here’s the Deal by Kellyanne Conway</v>
      </c>
    </row>
    <row r="424" outlineLevel="1">
      <c r="A424" s="30"/>
      <c r="B424" s="59" t="str">
        <f t="shared" si="16"/>
        <v>Hidden Valley Road: Inside the Mind of an American Family</v>
      </c>
      <c r="C424" s="32" t="s">
        <v>10</v>
      </c>
      <c r="D424" s="33"/>
      <c r="E424" s="33"/>
      <c r="F424" s="33" t="s">
        <v>51</v>
      </c>
      <c r="G424" s="36"/>
      <c r="H424" s="60" t="s">
        <v>775</v>
      </c>
      <c r="I424" s="36"/>
      <c r="J424" s="36" t="s">
        <v>776</v>
      </c>
      <c r="K424" s="60" t="str">
        <f t="shared" si="17"/>
        <v>Hidden Valley Road: Inside the Mind of an American Family by Sean Pratt, Robert Kolker</v>
      </c>
    </row>
    <row r="425" outlineLevel="1">
      <c r="A425" s="30"/>
      <c r="B425" s="59" t="str">
        <f t="shared" si="16"/>
        <v>Hillbilly Elegy: A Memoir of a Family and Culture in Crisis – Vice President J.D. Vance's #1 New York Times Bestselling Account of White Working-Class America</v>
      </c>
      <c r="C425" s="32" t="s">
        <v>22</v>
      </c>
      <c r="D425" s="33"/>
      <c r="E425" s="33"/>
      <c r="F425" s="33" t="s">
        <v>51</v>
      </c>
      <c r="G425" s="36"/>
      <c r="H425" s="60" t="s">
        <v>777</v>
      </c>
      <c r="I425" s="36"/>
      <c r="J425" s="36" t="s">
        <v>778</v>
      </c>
      <c r="K425" s="60" t="str">
        <f t="shared" si="17"/>
        <v>Hillbilly Elegy: A Memoir of a Family and Culture in Crisis – Vice President J.D. Vance's #1 New York Times Bestselling Account of White Working-Class America by J. D. Vance</v>
      </c>
    </row>
    <row r="426" outlineLevel="1">
      <c r="A426" s="30"/>
      <c r="B426" s="59" t="str">
        <f t="shared" si="16"/>
        <v>His Bloody Project: Documents Relating to the Case of Roderick Macrae (Man Booker Prize Finalist 2016)</v>
      </c>
      <c r="C426" s="32" t="s">
        <v>10</v>
      </c>
      <c r="D426" s="33"/>
      <c r="E426" s="33"/>
      <c r="F426" s="33" t="s">
        <v>51</v>
      </c>
      <c r="G426" s="36"/>
      <c r="H426" s="60" t="s">
        <v>779</v>
      </c>
      <c r="I426" s="36"/>
      <c r="J426" s="36" t="s">
        <v>780</v>
      </c>
      <c r="K426" s="60" t="str">
        <f t="shared" si="17"/>
        <v>His Bloody Project: Documents Relating to the Case of Roderick Macrae (Man Booker Prize Finalist 2016) by Graeme MaCrae Burnet</v>
      </c>
    </row>
    <row r="427" outlineLevel="1">
      <c r="A427" s="30"/>
      <c r="B427" s="59" t="str">
        <f t="shared" si="16"/>
        <v>Historians' Fallacies : Toward a Logic of Historical Thought</v>
      </c>
      <c r="C427" s="32" t="s">
        <v>10</v>
      </c>
      <c r="D427" s="33"/>
      <c r="E427" s="33"/>
      <c r="F427" s="33" t="s">
        <v>51</v>
      </c>
      <c r="G427" s="36"/>
      <c r="H427" s="60" t="s">
        <v>781</v>
      </c>
      <c r="I427" s="36"/>
      <c r="J427" s="36" t="s">
        <v>782</v>
      </c>
      <c r="K427" s="60" t="str">
        <f t="shared" si="17"/>
        <v>Historians' Fallacies : Toward a Logic of Historical Thought by David Hackett Fischer (Perfect Paperback) |</v>
      </c>
    </row>
    <row r="428" outlineLevel="1">
      <c r="A428" s="30"/>
      <c r="B428" s="59" t="str">
        <f t="shared" si="16"/>
        <v>History of Namibia: From the Beginning to 1990</v>
      </c>
      <c r="C428" s="32" t="s">
        <v>22</v>
      </c>
      <c r="D428" s="33"/>
      <c r="E428" s="33"/>
      <c r="F428" s="33" t="s">
        <v>51</v>
      </c>
      <c r="G428" s="36"/>
      <c r="H428" s="60" t="s">
        <v>783</v>
      </c>
      <c r="I428" s="36"/>
      <c r="J428" s="36" t="s">
        <v>784</v>
      </c>
      <c r="K428" s="60" t="str">
        <f t="shared" si="17"/>
        <v>History of Namibia: From the Beginning to 1990 by Marion Wallace</v>
      </c>
    </row>
    <row r="429" outlineLevel="1">
      <c r="A429" s="30"/>
      <c r="B429" s="59" t="str">
        <f t="shared" si="16"/>
        <v>Homicide: A Year on the Killing Streets</v>
      </c>
      <c r="C429" s="32" t="s">
        <v>10</v>
      </c>
      <c r="D429" s="33"/>
      <c r="E429" s="33"/>
      <c r="F429" s="33" t="s">
        <v>51</v>
      </c>
      <c r="G429" s="36"/>
      <c r="H429" s="60" t="s">
        <v>785</v>
      </c>
      <c r="I429" s="36"/>
      <c r="J429" s="36" t="s">
        <v>786</v>
      </c>
      <c r="K429" s="60" t="str">
        <f t="shared" si="17"/>
        <v>Homicide: A Year on the Killing Streets by David Simon</v>
      </c>
    </row>
    <row r="430" outlineLevel="1">
      <c r="A430" s="30"/>
      <c r="B430" s="59" t="str">
        <f t="shared" si="16"/>
        <v>Homo Deus: A Brief History of Tomorrow</v>
      </c>
      <c r="C430" s="32" t="s">
        <v>22</v>
      </c>
      <c r="D430" s="33"/>
      <c r="E430" s="33"/>
      <c r="F430" s="33" t="s">
        <v>51</v>
      </c>
      <c r="G430" s="36"/>
      <c r="H430" s="60" t="s">
        <v>787</v>
      </c>
      <c r="I430" s="36"/>
      <c r="J430" s="36" t="s">
        <v>788</v>
      </c>
      <c r="K430" s="60" t="str">
        <f t="shared" si="17"/>
        <v>Homo Deus: A Brief History of Tomorrow by Yuval Noah Harari</v>
      </c>
    </row>
    <row r="431" outlineLevel="1">
      <c r="A431" s="30"/>
      <c r="B431" s="59" t="str">
        <f t="shared" si="16"/>
        <v>Homo Ludens: A Study of the Play-Element in Culture</v>
      </c>
      <c r="C431" s="32" t="s">
        <v>22</v>
      </c>
      <c r="D431" s="33"/>
      <c r="E431" s="33"/>
      <c r="F431" s="33" t="s">
        <v>51</v>
      </c>
      <c r="G431" s="36"/>
      <c r="H431" s="60" t="s">
        <v>789</v>
      </c>
      <c r="I431" s="36"/>
      <c r="J431" s="36" t="s">
        <v>790</v>
      </c>
      <c r="K431" s="60" t="str">
        <f t="shared" si="17"/>
        <v>Homo Ludens: A Study of the Play-Element in Culture by Johan Huizinga, Scott R. Pollak</v>
      </c>
    </row>
    <row r="432" outlineLevel="1">
      <c r="A432" s="30"/>
      <c r="B432" s="59" t="str">
        <f t="shared" si="16"/>
        <v>Honeydew</v>
      </c>
      <c r="C432" s="32" t="s">
        <v>10</v>
      </c>
      <c r="D432" s="33"/>
      <c r="E432" s="33"/>
      <c r="F432" s="33" t="s">
        <v>51</v>
      </c>
      <c r="G432" s="36"/>
      <c r="H432" s="60" t="s">
        <v>791</v>
      </c>
      <c r="I432" s="36"/>
      <c r="J432" s="36" t="s">
        <v>792</v>
      </c>
      <c r="K432" s="60" t="str">
        <f t="shared" si="17"/>
        <v>Honeydew by Edith Pearlman</v>
      </c>
    </row>
    <row r="433" outlineLevel="1">
      <c r="A433" s="30"/>
      <c r="B433" s="59" t="str">
        <f t="shared" si="16"/>
        <v>House of Debt: How They (and You) Caused the Great Recession, and How We Can Prevent It from Happening Again</v>
      </c>
      <c r="C433" s="32" t="s">
        <v>22</v>
      </c>
      <c r="D433" s="33"/>
      <c r="E433" s="33"/>
      <c r="F433" s="33" t="s">
        <v>51</v>
      </c>
      <c r="G433" s="36"/>
      <c r="H433" s="60" t="s">
        <v>793</v>
      </c>
      <c r="I433" s="36"/>
      <c r="J433" s="36" t="s">
        <v>794</v>
      </c>
      <c r="K433" s="60" t="str">
        <f t="shared" si="17"/>
        <v>House of Debt: How They (and You) Caused the Great Recession, and How We Can Prevent It from Happening Again by Atif Mian, Amir Sufi</v>
      </c>
    </row>
    <row r="434" outlineLevel="1">
      <c r="A434" s="30"/>
      <c r="B434" s="59" t="str">
        <f t="shared" si="16"/>
        <v>House of Earth and Blood (Crescent City Book 1)</v>
      </c>
      <c r="C434" s="32" t="s">
        <v>10</v>
      </c>
      <c r="D434" s="33"/>
      <c r="E434" s="33"/>
      <c r="F434" s="33" t="s">
        <v>51</v>
      </c>
      <c r="G434" s="36"/>
      <c r="H434" s="60" t="s">
        <v>795</v>
      </c>
      <c r="I434" s="36"/>
      <c r="J434" s="36" t="s">
        <v>796</v>
      </c>
      <c r="K434" s="60" t="str">
        <f t="shared" si="17"/>
        <v>House of Earth and Blood (Crescent City Book 1) by Sarah J. Maas</v>
      </c>
    </row>
    <row r="435" outlineLevel="1">
      <c r="A435" s="30"/>
      <c r="B435" s="59" t="str">
        <f t="shared" si="16"/>
        <v>How Children Succeed: Grit, Curiosity, and the Hidden Power of Character</v>
      </c>
      <c r="C435" s="32" t="s">
        <v>22</v>
      </c>
      <c r="D435" s="33"/>
      <c r="E435" s="33"/>
      <c r="F435" s="33" t="s">
        <v>51</v>
      </c>
      <c r="G435" s="36"/>
      <c r="H435" s="60" t="s">
        <v>797</v>
      </c>
      <c r="I435" s="36"/>
      <c r="J435" s="36" t="s">
        <v>798</v>
      </c>
      <c r="K435" s="60" t="str">
        <f t="shared" si="17"/>
        <v>How Children Succeed: Grit, Curiosity, and the Hidden Power of Character by Paul Tough</v>
      </c>
    </row>
    <row r="436" outlineLevel="1">
      <c r="A436" s="30"/>
      <c r="B436" s="59" t="str">
        <f t="shared" si="16"/>
        <v>How It Happened</v>
      </c>
      <c r="C436" s="32" t="s">
        <v>10</v>
      </c>
      <c r="D436" s="33"/>
      <c r="E436" s="33"/>
      <c r="F436" s="33" t="s">
        <v>51</v>
      </c>
      <c r="G436" s="36"/>
      <c r="H436" s="60" t="s">
        <v>799</v>
      </c>
      <c r="I436" s="36"/>
      <c r="J436" s="36" t="s">
        <v>800</v>
      </c>
      <c r="K436" s="60" t="str">
        <f t="shared" si="17"/>
        <v>How It Happened by Michael Koryta</v>
      </c>
    </row>
    <row r="437" outlineLevel="1">
      <c r="A437" s="30"/>
      <c r="B437" s="59" t="str">
        <f t="shared" si="16"/>
        <v>How Learning Happens: Seminal Works in Educational Psychology and What They Mean in Practice</v>
      </c>
      <c r="C437" s="32" t="s">
        <v>10</v>
      </c>
      <c r="D437" s="33"/>
      <c r="E437" s="33"/>
      <c r="F437" s="33" t="s">
        <v>51</v>
      </c>
      <c r="G437" s="36"/>
      <c r="H437" s="60" t="s">
        <v>801</v>
      </c>
      <c r="I437" s="36"/>
      <c r="J437" s="36" t="s">
        <v>802</v>
      </c>
      <c r="K437" s="60" t="str">
        <f t="shared" si="17"/>
        <v>How Learning Happens: Seminal Works in Educational Psychology and What They Mean in Practice by Paul A. Kirschner, Carl Hendrick</v>
      </c>
    </row>
    <row r="438" outlineLevel="1">
      <c r="A438" s="30"/>
      <c r="B438" s="59" t="str">
        <f t="shared" si="16"/>
        <v>How Much is Enough?: Money and the Good Life</v>
      </c>
      <c r="C438" s="32" t="s">
        <v>10</v>
      </c>
      <c r="D438" s="33"/>
      <c r="E438" s="33"/>
      <c r="F438" s="33" t="s">
        <v>51</v>
      </c>
      <c r="G438" s="36"/>
      <c r="H438" s="60" t="s">
        <v>803</v>
      </c>
      <c r="I438" s="36"/>
      <c r="J438" s="36" t="s">
        <v>804</v>
      </c>
      <c r="K438" s="60" t="str">
        <f t="shared" si="17"/>
        <v>How Much is Enough?: Money and the Good Life by Robert Skidelsky, Edward Skidelsky</v>
      </c>
    </row>
    <row r="439" outlineLevel="1">
      <c r="A439" s="30"/>
      <c r="B439" s="59" t="str">
        <f t="shared" si="16"/>
        <v>How Not to Be Wrong: The Power of Mathematical Thinking</v>
      </c>
      <c r="C439" s="32" t="s">
        <v>10</v>
      </c>
      <c r="D439" s="33"/>
      <c r="E439" s="33"/>
      <c r="F439" s="33" t="s">
        <v>51</v>
      </c>
      <c r="G439" s="36"/>
      <c r="H439" s="60" t="s">
        <v>805</v>
      </c>
      <c r="I439" s="36"/>
      <c r="J439" s="36" t="s">
        <v>806</v>
      </c>
      <c r="K439" s="60" t="str">
        <f t="shared" si="17"/>
        <v>How Not to Be Wrong: The Power of Mathematical Thinking by Jordan Ellenberg</v>
      </c>
    </row>
    <row r="440" outlineLevel="1">
      <c r="A440" s="30"/>
      <c r="B440" s="59" t="str">
        <f t="shared" si="16"/>
        <v>How the Mind Works</v>
      </c>
      <c r="C440" s="32" t="s">
        <v>10</v>
      </c>
      <c r="D440" s="33"/>
      <c r="E440" s="33"/>
      <c r="F440" s="33" t="s">
        <v>51</v>
      </c>
      <c r="G440" s="36"/>
      <c r="H440" s="60" t="s">
        <v>670</v>
      </c>
      <c r="I440" s="36"/>
      <c r="J440" s="36" t="s">
        <v>807</v>
      </c>
      <c r="K440" s="60" t="str">
        <f t="shared" si="17"/>
        <v>How the Mind Works by Steven Pinker</v>
      </c>
    </row>
    <row r="441" outlineLevel="1">
      <c r="A441" s="30"/>
      <c r="B441" s="59" t="str">
        <f t="shared" si="16"/>
        <v>How the World Became Rich: The Historical Origins of Economic Growth</v>
      </c>
      <c r="C441" s="32" t="s">
        <v>22</v>
      </c>
      <c r="D441" s="33"/>
      <c r="E441" s="33"/>
      <c r="F441" s="33" t="s">
        <v>51</v>
      </c>
      <c r="G441" s="36"/>
      <c r="H441" s="60" t="s">
        <v>808</v>
      </c>
      <c r="I441" s="36"/>
      <c r="J441" s="36" t="s">
        <v>809</v>
      </c>
      <c r="K441" s="60" t="str">
        <f t="shared" si="17"/>
        <v>How the World Became Rich: The Historical Origins of Economic Growth by Mark Koyama, Jared Rubin</v>
      </c>
    </row>
    <row r="442" outlineLevel="1">
      <c r="A442" s="30"/>
      <c r="B442" s="59" t="str">
        <f t="shared" si="16"/>
        <v>How to Change Your Mind: What the New Science of Psychedelics Teaches Us About Consciousness, Dying, Addiction, Depression, and Transcendence</v>
      </c>
      <c r="C442" s="32" t="s">
        <v>10</v>
      </c>
      <c r="D442" s="33"/>
      <c r="E442" s="33"/>
      <c r="F442" s="33" t="s">
        <v>51</v>
      </c>
      <c r="G442" s="36"/>
      <c r="H442" s="60" t="s">
        <v>810</v>
      </c>
      <c r="I442" s="36"/>
      <c r="J442" s="36" t="s">
        <v>811</v>
      </c>
      <c r="K442" s="60" t="str">
        <f t="shared" si="17"/>
        <v>How to Change Your Mind: What the New Science of Psychedelics Teaches Us About Consciousness, Dying, Addiction, Depression, and Transcendence by Michael Pollan</v>
      </c>
    </row>
    <row r="443" outlineLevel="1">
      <c r="A443" s="30"/>
      <c r="B443" s="59" t="str">
        <f t="shared" si="16"/>
        <v>How to Have Impossible Conversations: A Very Practical Guide</v>
      </c>
      <c r="C443" s="32" t="s">
        <v>10</v>
      </c>
      <c r="D443" s="33"/>
      <c r="E443" s="33"/>
      <c r="F443" s="33" t="s">
        <v>51</v>
      </c>
      <c r="G443" s="36"/>
      <c r="H443" s="60" t="s">
        <v>812</v>
      </c>
      <c r="I443" s="36"/>
      <c r="J443" s="36" t="s">
        <v>813</v>
      </c>
      <c r="K443" s="60" t="str">
        <f t="shared" si="17"/>
        <v>How to Have Impossible Conversations: A Very Practical Guide by Peter Boghossian, James Lindsay</v>
      </c>
    </row>
    <row r="444" outlineLevel="1">
      <c r="A444" s="30"/>
      <c r="B444" s="59" t="str">
        <f t="shared" si="16"/>
        <v>How to Hide an Empire: A History of the Greater United States</v>
      </c>
      <c r="C444" s="32" t="s">
        <v>10</v>
      </c>
      <c r="D444" s="33"/>
      <c r="E444" s="33"/>
      <c r="F444" s="33" t="s">
        <v>51</v>
      </c>
      <c r="G444" s="36"/>
      <c r="H444" s="60" t="s">
        <v>814</v>
      </c>
      <c r="I444" s="36"/>
      <c r="J444" s="36" t="s">
        <v>815</v>
      </c>
      <c r="K444" s="60" t="str">
        <f t="shared" si="17"/>
        <v>How to Hide an Empire: A History of the Greater United States by Daniel Immerwahr</v>
      </c>
    </row>
    <row r="445" outlineLevel="1">
      <c r="A445" s="30"/>
      <c r="B445" s="59" t="str">
        <f t="shared" si="16"/>
        <v>How to Love Your Retirement: The Guide to the Best of Your Life (Hundreds of Heads Survival Guides)</v>
      </c>
      <c r="C445" s="32" t="s">
        <v>10</v>
      </c>
      <c r="D445" s="33"/>
      <c r="E445" s="33"/>
      <c r="F445" s="33" t="s">
        <v>51</v>
      </c>
      <c r="G445" s="36"/>
      <c r="H445" s="60" t="s">
        <v>816</v>
      </c>
      <c r="I445" s="36"/>
      <c r="J445" s="36" t="s">
        <v>817</v>
      </c>
      <c r="K445" s="60" t="str">
        <f t="shared" si="17"/>
        <v>How to Love Your Retirement: The Guide to the Best of Your Life (Hundreds of Heads Survival Guides) by Barbara Waxman</v>
      </c>
    </row>
    <row r="446" outlineLevel="1">
      <c r="A446" s="30"/>
      <c r="B446" s="59" t="str">
        <f t="shared" si="16"/>
        <v>How to Read a Book: The Classic Guide to Intelligent Reading</v>
      </c>
      <c r="C446" s="32" t="s">
        <v>22</v>
      </c>
      <c r="D446" s="33"/>
      <c r="E446" s="33"/>
      <c r="F446" s="33" t="s">
        <v>51</v>
      </c>
      <c r="G446" s="36"/>
      <c r="H446" s="60" t="s">
        <v>818</v>
      </c>
      <c r="I446" s="36"/>
      <c r="J446" s="36" t="s">
        <v>819</v>
      </c>
      <c r="K446" s="60" t="str">
        <f t="shared" si="17"/>
        <v>How to Read a Book: The Classic Guide to Intelligent Reading by Mortimer J. Adler, Charles Van Doren</v>
      </c>
    </row>
    <row r="447" outlineLevel="1">
      <c r="A447" s="30"/>
      <c r="B447" s="59" t="str">
        <f t="shared" si="16"/>
        <v>How to Retire Happy, Wild, and Free: Retirement Wisdom That You Won't Get from Your Financial Advisor</v>
      </c>
      <c r="C447" s="32" t="s">
        <v>10</v>
      </c>
      <c r="D447" s="33"/>
      <c r="E447" s="33"/>
      <c r="F447" s="33" t="s">
        <v>51</v>
      </c>
      <c r="G447" s="36"/>
      <c r="H447" s="60" t="s">
        <v>820</v>
      </c>
      <c r="I447" s="36"/>
      <c r="J447" s="36" t="s">
        <v>821</v>
      </c>
      <c r="K447" s="60" t="str">
        <f t="shared" si="17"/>
        <v>How to Retire Happy, Wild, and Free: Retirement Wisdom That You Won't Get from Your Financial Advisor by Ernie J Zelinski</v>
      </c>
    </row>
    <row r="448" outlineLevel="1">
      <c r="A448" s="30"/>
      <c r="B448" s="59" t="str">
        <f t="shared" si="16"/>
        <v>How We Die: Reflections on Life's Final Chapter, New Edition (National Book Award Winner)</v>
      </c>
      <c r="C448" s="32" t="s">
        <v>10</v>
      </c>
      <c r="D448" s="33"/>
      <c r="E448" s="33"/>
      <c r="F448" s="33" t="s">
        <v>51</v>
      </c>
      <c r="G448" s="36"/>
      <c r="H448" s="60" t="s">
        <v>822</v>
      </c>
      <c r="I448" s="36"/>
      <c r="J448" s="36" t="s">
        <v>823</v>
      </c>
      <c r="K448" s="60" t="str">
        <f t="shared" si="17"/>
        <v>How We Die: Reflections on Life's Final Chapter, New Edition (National Book Award Winner) by Sherwin B. Nuland</v>
      </c>
    </row>
    <row r="449" outlineLevel="1">
      <c r="A449" s="30"/>
      <c r="B449" s="59" t="str">
        <f t="shared" si="16"/>
        <v>Human Compatible: Artificial Intelligence and the Problem of Control</v>
      </c>
      <c r="C449" s="32" t="s">
        <v>10</v>
      </c>
      <c r="D449" s="33"/>
      <c r="E449" s="33"/>
      <c r="F449" s="33" t="s">
        <v>51</v>
      </c>
      <c r="G449" s="36"/>
      <c r="H449" s="60" t="s">
        <v>824</v>
      </c>
      <c r="I449" s="36"/>
      <c r="J449" s="36" t="s">
        <v>825</v>
      </c>
      <c r="K449" s="60" t="str">
        <f t="shared" si="17"/>
        <v>Human Compatible: Artificial Intelligence and the Problem of Control by Stuart Russell</v>
      </c>
    </row>
    <row r="450" outlineLevel="1">
      <c r="A450" s="30"/>
      <c r="B450" s="59" t="str">
        <f t="shared" si="16"/>
        <v>I, Robot</v>
      </c>
      <c r="C450" s="32" t="s">
        <v>10</v>
      </c>
      <c r="D450" s="33"/>
      <c r="E450" s="33"/>
      <c r="F450" s="33" t="s">
        <v>51</v>
      </c>
      <c r="G450" s="36"/>
      <c r="H450" s="60" t="s">
        <v>826</v>
      </c>
      <c r="I450" s="36"/>
      <c r="J450" s="36" t="s">
        <v>827</v>
      </c>
      <c r="K450" s="60" t="str">
        <f t="shared" si="17"/>
        <v>I, Robot by Isaac Asimov</v>
      </c>
    </row>
    <row r="451" outlineLevel="1">
      <c r="A451" s="30"/>
      <c r="B451" s="59" t="str">
        <f t="shared" si="16"/>
        <v>I'll Be You: A Novel</v>
      </c>
      <c r="C451" s="32" t="s">
        <v>10</v>
      </c>
      <c r="D451" s="33"/>
      <c r="E451" s="33"/>
      <c r="F451" s="33" t="s">
        <v>51</v>
      </c>
      <c r="G451" s="36"/>
      <c r="H451" s="60" t="s">
        <v>828</v>
      </c>
      <c r="I451" s="36"/>
      <c r="J451" s="36" t="s">
        <v>829</v>
      </c>
      <c r="K451" s="60" t="str">
        <f t="shared" si="17"/>
        <v>I'll Be You: A Novel by Janelle Brown</v>
      </c>
    </row>
    <row r="452" outlineLevel="1">
      <c r="A452" s="30"/>
      <c r="B452" s="59" t="str">
        <f t="shared" si="16"/>
        <v>Immunity to Change (Leadership for the Common Good)</v>
      </c>
      <c r="C452" s="32" t="s">
        <v>10</v>
      </c>
      <c r="D452" s="33"/>
      <c r="E452" s="33"/>
      <c r="F452" s="33" t="s">
        <v>51</v>
      </c>
      <c r="G452" s="36"/>
      <c r="H452" s="60" t="s">
        <v>830</v>
      </c>
      <c r="I452" s="36"/>
      <c r="J452" s="36" t="s">
        <v>831</v>
      </c>
      <c r="K452" s="60" t="str">
        <f t="shared" si="17"/>
        <v>Immunity to Change (Leadership for the Common Good) by Robert Kegan, Lisa Laskow Lahey</v>
      </c>
    </row>
    <row r="453" outlineLevel="1">
      <c r="A453" s="30"/>
      <c r="B453" s="59" t="str">
        <f t="shared" si="16"/>
        <v>Impact Networks: Create Connection, Spark Collaboration, and Catalyze Systemic Change</v>
      </c>
      <c r="C453" s="32" t="s">
        <v>22</v>
      </c>
      <c r="D453" s="33"/>
      <c r="E453" s="33"/>
      <c r="F453" s="33" t="s">
        <v>51</v>
      </c>
      <c r="G453" s="36"/>
      <c r="H453" s="60" t="s">
        <v>832</v>
      </c>
      <c r="I453" s="36"/>
      <c r="J453" s="36" t="s">
        <v>833</v>
      </c>
      <c r="K453" s="60" t="str">
        <f t="shared" si="17"/>
        <v>Impact Networks: Create Connection, Spark Collaboration, and Catalyze Systemic Change by David Ehrlichman</v>
      </c>
    </row>
    <row r="454" outlineLevel="1">
      <c r="A454" s="30"/>
      <c r="B454" s="59" t="str">
        <f t="shared" si="16"/>
        <v>In a Dark, Dark Wood</v>
      </c>
      <c r="C454" s="32" t="s">
        <v>10</v>
      </c>
      <c r="D454" s="33"/>
      <c r="E454" s="33"/>
      <c r="F454" s="33" t="s">
        <v>51</v>
      </c>
      <c r="G454" s="36"/>
      <c r="H454" s="60" t="s">
        <v>834</v>
      </c>
      <c r="I454" s="36"/>
      <c r="J454" s="36" t="s">
        <v>835</v>
      </c>
      <c r="K454" s="60" t="str">
        <f t="shared" si="17"/>
        <v>In a Dark, Dark Wood by Ruth Ware</v>
      </c>
    </row>
    <row r="455" outlineLevel="1">
      <c r="A455" s="30"/>
      <c r="B455" s="59" t="str">
        <f t="shared" si="16"/>
        <v>India After Gandhi: The History of the World's Largest Democracy</v>
      </c>
      <c r="C455" s="32" t="s">
        <v>22</v>
      </c>
      <c r="D455" s="33"/>
      <c r="E455" s="33"/>
      <c r="F455" s="33" t="s">
        <v>51</v>
      </c>
      <c r="G455" s="36"/>
      <c r="H455" s="60" t="s">
        <v>836</v>
      </c>
      <c r="I455" s="36"/>
      <c r="J455" s="36" t="s">
        <v>837</v>
      </c>
      <c r="K455" s="60" t="str">
        <f t="shared" si="17"/>
        <v>India After Gandhi: The History of the World's Largest Democracy by Ramachandra Guha</v>
      </c>
    </row>
    <row r="456" outlineLevel="1">
      <c r="A456" s="30"/>
      <c r="B456" s="59" t="str">
        <f t="shared" si="16"/>
        <v>Information Hunters: When Librarians, Soldiers, and Spies Banded Together in World War II Europe</v>
      </c>
      <c r="C456" s="32" t="s">
        <v>10</v>
      </c>
      <c r="D456" s="33"/>
      <c r="E456" s="33"/>
      <c r="F456" s="33" t="s">
        <v>51</v>
      </c>
      <c r="G456" s="36"/>
      <c r="H456" s="60" t="s">
        <v>838</v>
      </c>
      <c r="I456" s="36"/>
      <c r="J456" s="36" t="s">
        <v>839</v>
      </c>
      <c r="K456" s="60" t="str">
        <f t="shared" si="17"/>
        <v>Information Hunters: When Librarians, Soldiers, and Spies Banded Together in World War II Europe by Kathy Peiss</v>
      </c>
    </row>
    <row r="457" outlineLevel="1">
      <c r="A457" s="30"/>
      <c r="B457" s="59" t="str">
        <f t="shared" si="16"/>
        <v>Inspired: How to Create Tech Products Customers Love</v>
      </c>
      <c r="C457" s="32" t="s">
        <v>10</v>
      </c>
      <c r="D457" s="33"/>
      <c r="E457" s="33"/>
      <c r="F457" s="33" t="s">
        <v>51</v>
      </c>
      <c r="G457" s="36"/>
      <c r="H457" s="60" t="s">
        <v>840</v>
      </c>
      <c r="I457" s="36"/>
      <c r="J457" s="36" t="s">
        <v>841</v>
      </c>
      <c r="K457" s="60" t="str">
        <f t="shared" si="17"/>
        <v>Inspired: How to Create Tech Products Customers Love by Marty Cagan</v>
      </c>
    </row>
    <row r="458" outlineLevel="1">
      <c r="A458" s="30"/>
      <c r="B458" s="59" t="str">
        <f t="shared" si="16"/>
        <v>Interior States: Essays</v>
      </c>
      <c r="C458" s="32" t="s">
        <v>10</v>
      </c>
      <c r="D458" s="33"/>
      <c r="E458" s="33"/>
      <c r="F458" s="33" t="s">
        <v>51</v>
      </c>
      <c r="G458" s="36"/>
      <c r="H458" s="60" t="s">
        <v>842</v>
      </c>
      <c r="I458" s="36"/>
      <c r="J458" s="36" t="s">
        <v>843</v>
      </c>
      <c r="K458" s="60" t="str">
        <f t="shared" si="17"/>
        <v>Interior States: Essays by Meghan O'Gieblyn</v>
      </c>
    </row>
    <row r="459" outlineLevel="1">
      <c r="A459" s="30"/>
      <c r="B459" s="59" t="str">
        <f t="shared" si="16"/>
        <v>Interpreter of Maladies</v>
      </c>
      <c r="C459" s="32" t="s">
        <v>10</v>
      </c>
      <c r="D459" s="33"/>
      <c r="E459" s="33"/>
      <c r="F459" s="33" t="s">
        <v>51</v>
      </c>
      <c r="G459" s="36"/>
      <c r="H459" s="60" t="s">
        <v>844</v>
      </c>
      <c r="I459" s="36"/>
      <c r="J459" s="36" t="s">
        <v>845</v>
      </c>
      <c r="K459" s="60" t="str">
        <f t="shared" si="17"/>
        <v>Interpreter of Maladies by Jhumpa Lahiri, Janet Silver</v>
      </c>
    </row>
    <row r="460" outlineLevel="1">
      <c r="A460" s="30"/>
      <c r="B460" s="59" t="str">
        <f t="shared" si="16"/>
        <v>Invisible Women: Data Bias in a World Designed for Men</v>
      </c>
      <c r="C460" s="32" t="s">
        <v>22</v>
      </c>
      <c r="D460" s="33"/>
      <c r="E460" s="33"/>
      <c r="F460" s="33" t="s">
        <v>51</v>
      </c>
      <c r="G460" s="36"/>
      <c r="H460" s="60" t="s">
        <v>846</v>
      </c>
      <c r="I460" s="36"/>
      <c r="J460" s="36" t="s">
        <v>847</v>
      </c>
      <c r="K460" s="60" t="str">
        <f t="shared" si="17"/>
        <v>Invisible Women: Data Bias in a World Designed for Men by Caroline Criado Perez</v>
      </c>
    </row>
    <row r="461" outlineLevel="1">
      <c r="A461" s="30"/>
      <c r="B461" s="59" t="str">
        <f t="shared" si="16"/>
        <v>Iron Lake: A Novel</v>
      </c>
      <c r="C461" s="32" t="s">
        <v>10</v>
      </c>
      <c r="D461" s="33"/>
      <c r="E461" s="33"/>
      <c r="F461" s="33" t="s">
        <v>51</v>
      </c>
      <c r="G461" s="36" t="s">
        <v>848</v>
      </c>
      <c r="H461" s="60" t="s">
        <v>849</v>
      </c>
      <c r="I461" s="36"/>
      <c r="J461" s="36" t="s">
        <v>850</v>
      </c>
      <c r="K461" s="60" t="str">
        <f t="shared" si="17"/>
        <v>Iron Lake: A Novel by William Kent Krueger</v>
      </c>
    </row>
    <row r="462" outlineLevel="1">
      <c r="A462" s="30"/>
      <c r="B462" s="59" t="str">
        <f t="shared" si="16"/>
        <v>It Was All a Lie: How the Republican Party Became Donald Trump</v>
      </c>
      <c r="C462" s="32" t="s">
        <v>10</v>
      </c>
      <c r="D462" s="33"/>
      <c r="E462" s="33"/>
      <c r="F462" s="33" t="s">
        <v>51</v>
      </c>
      <c r="G462" s="36"/>
      <c r="H462" s="60" t="s">
        <v>851</v>
      </c>
      <c r="I462" s="36"/>
      <c r="J462" s="36" t="s">
        <v>852</v>
      </c>
      <c r="K462" s="60" t="str">
        <f t="shared" si="17"/>
        <v>It Was All a Lie: How the Republican Party Became Donald Trump by Stuart Stevens</v>
      </c>
    </row>
    <row r="463" outlineLevel="1">
      <c r="A463" s="30"/>
      <c r="B463" s="59" t="str">
        <f t="shared" si="16"/>
        <v>It's Even Worse Than It Looks: How the American Constitutional System Collided With the New Politics of Extremism</v>
      </c>
      <c r="C463" s="32" t="s">
        <v>10</v>
      </c>
      <c r="D463" s="33"/>
      <c r="E463" s="33"/>
      <c r="F463" s="33" t="s">
        <v>51</v>
      </c>
      <c r="G463" s="36"/>
      <c r="H463" s="60" t="s">
        <v>853</v>
      </c>
      <c r="I463" s="36"/>
      <c r="J463" s="36" t="s">
        <v>854</v>
      </c>
      <c r="K463" s="60" t="str">
        <f t="shared" si="17"/>
        <v>It's Even Worse Than It Looks: How the American Constitutional System Collided With the New Politics of Extremism by Thomas E. Mann, Norman J. Ornstein</v>
      </c>
    </row>
    <row r="464" outlineLevel="1">
      <c r="A464" s="30"/>
      <c r="B464" s="59" t="str">
        <f t="shared" si="16"/>
        <v>It's NOT JUST about the Money</v>
      </c>
      <c r="C464" s="32" t="s">
        <v>10</v>
      </c>
      <c r="D464" s="33"/>
      <c r="E464" s="33"/>
      <c r="F464" s="33" t="s">
        <v>51</v>
      </c>
      <c r="G464" s="36"/>
      <c r="H464" s="60" t="s">
        <v>855</v>
      </c>
      <c r="I464" s="36"/>
      <c r="J464" s="36" t="s">
        <v>856</v>
      </c>
      <c r="K464" s="60" t="str">
        <f t="shared" si="17"/>
        <v>It's NOT JUST about the Money by Richard Perry, Jeff Schreifels</v>
      </c>
    </row>
    <row r="465" outlineLevel="1">
      <c r="A465" s="30"/>
      <c r="B465" s="59" t="str">
        <f t="shared" si="16"/>
        <v>James</v>
      </c>
      <c r="C465" s="32" t="s">
        <v>10</v>
      </c>
      <c r="D465" s="33"/>
      <c r="E465" s="33"/>
      <c r="F465" s="33" t="s">
        <v>51</v>
      </c>
      <c r="G465" s="36"/>
      <c r="H465" s="60" t="s">
        <v>857</v>
      </c>
      <c r="I465" s="36"/>
      <c r="J465" s="36" t="s">
        <v>85</v>
      </c>
      <c r="K465" s="60" t="str">
        <f t="shared" si="17"/>
        <v>James by Percival Everett</v>
      </c>
    </row>
    <row r="466" outlineLevel="1">
      <c r="A466" s="30"/>
      <c r="B466" s="59" t="str">
        <f t="shared" si="16"/>
        <v>Jerusalem: The Biography</v>
      </c>
      <c r="C466" s="32" t="s">
        <v>22</v>
      </c>
      <c r="D466" s="33"/>
      <c r="E466" s="33"/>
      <c r="F466" s="33" t="s">
        <v>51</v>
      </c>
      <c r="G466" s="36"/>
      <c r="H466" s="60" t="s">
        <v>858</v>
      </c>
      <c r="I466" s="36"/>
      <c r="J466" s="36" t="s">
        <v>859</v>
      </c>
      <c r="K466" s="60" t="str">
        <f t="shared" si="17"/>
        <v>Jerusalem: The Biography by Simon Sebag Montefiore</v>
      </c>
    </row>
    <row r="467" outlineLevel="1">
      <c r="A467" s="30"/>
      <c r="B467" s="59" t="str">
        <f t="shared" si="16"/>
        <v>Joe Rochefort's War: The Odyssey of the Codebreaker Who Outwitted Yamamoto at Midway</v>
      </c>
      <c r="C467" s="32" t="s">
        <v>10</v>
      </c>
      <c r="D467" s="33"/>
      <c r="E467" s="33"/>
      <c r="F467" s="33" t="s">
        <v>51</v>
      </c>
      <c r="G467" s="36"/>
      <c r="H467" s="60" t="s">
        <v>860</v>
      </c>
      <c r="I467" s="36"/>
      <c r="J467" s="36" t="s">
        <v>861</v>
      </c>
      <c r="K467" s="60" t="str">
        <f t="shared" si="17"/>
        <v>Joe Rochefort's War: The Odyssey of the Codebreaker Who Outwitted Yamamoto at Midway by Elliot W Carlson, Donald M Showers USN (Ret.)</v>
      </c>
    </row>
    <row r="468" outlineLevel="1">
      <c r="A468" s="30"/>
      <c r="B468" s="59" t="str">
        <f t="shared" si="16"/>
        <v>Joe Wilson and the Creation of Xerox</v>
      </c>
      <c r="C468" s="32" t="s">
        <v>22</v>
      </c>
      <c r="D468" s="33"/>
      <c r="E468" s="33"/>
      <c r="F468" s="33" t="s">
        <v>51</v>
      </c>
      <c r="G468" s="36"/>
      <c r="H468" s="60" t="s">
        <v>862</v>
      </c>
      <c r="I468" s="36"/>
      <c r="J468" s="36" t="s">
        <v>863</v>
      </c>
      <c r="K468" s="60" t="str">
        <f t="shared" si="17"/>
        <v>Joe Wilson and the Creation of Xerox by Charles D. Ellis, Joel M. Podolny</v>
      </c>
    </row>
    <row r="469" outlineLevel="1">
      <c r="A469" s="30"/>
      <c r="B469" s="59" t="str">
        <f t="shared" si="16"/>
        <v>John &amp; Paul: A Love Story in Songs</v>
      </c>
      <c r="C469" s="32" t="s">
        <v>22</v>
      </c>
      <c r="D469" s="33"/>
      <c r="E469" s="33"/>
      <c r="F469" s="33" t="s">
        <v>51</v>
      </c>
      <c r="G469" s="36"/>
      <c r="H469" s="60" t="s">
        <v>121</v>
      </c>
      <c r="I469" s="36"/>
      <c r="J469" s="36" t="s">
        <v>864</v>
      </c>
      <c r="K469" s="60" t="str">
        <f t="shared" si="17"/>
        <v>John &amp; Paul: A Love Story in Songs by Ian Leslie</v>
      </c>
    </row>
    <row r="470" outlineLevel="1">
      <c r="A470" s="30"/>
      <c r="B470" s="59" t="str">
        <f t="shared" si="16"/>
        <v>Jonathan Strange &amp; Mr. Norrell: A Novel</v>
      </c>
      <c r="C470" s="32" t="s">
        <v>10</v>
      </c>
      <c r="D470" s="33"/>
      <c r="E470" s="33"/>
      <c r="F470" s="33" t="s">
        <v>51</v>
      </c>
      <c r="G470" s="36"/>
      <c r="H470" s="60" t="s">
        <v>865</v>
      </c>
      <c r="I470" s="36"/>
      <c r="J470" s="36" t="s">
        <v>866</v>
      </c>
      <c r="K470" s="60" t="str">
        <f t="shared" si="17"/>
        <v>Jonathan Strange &amp; Mr. Norrell: A Novel by Susanna Clarke</v>
      </c>
    </row>
    <row r="471" outlineLevel="1">
      <c r="A471" s="30"/>
      <c r="B471" s="59" t="str">
        <f t="shared" si="16"/>
        <v>Joyland</v>
      </c>
      <c r="C471" s="32" t="s">
        <v>10</v>
      </c>
      <c r="D471" s="33"/>
      <c r="E471" s="33"/>
      <c r="F471" s="33" t="s">
        <v>51</v>
      </c>
      <c r="G471" s="36"/>
      <c r="H471" s="60" t="s">
        <v>698</v>
      </c>
      <c r="I471" s="36"/>
      <c r="J471" s="36" t="s">
        <v>867</v>
      </c>
      <c r="K471" s="60" t="str">
        <f t="shared" si="17"/>
        <v>Joyland by Stephen King</v>
      </c>
    </row>
    <row r="472" outlineLevel="1">
      <c r="A472" s="30"/>
      <c r="B472" s="59" t="str">
        <f t="shared" si="16"/>
        <v>Just Kids</v>
      </c>
      <c r="C472" s="32" t="s">
        <v>10</v>
      </c>
      <c r="D472" s="33"/>
      <c r="E472" s="33"/>
      <c r="F472" s="33" t="s">
        <v>51</v>
      </c>
      <c r="G472" s="36"/>
      <c r="H472" s="60" t="s">
        <v>868</v>
      </c>
      <c r="I472" s="36"/>
      <c r="J472" s="36" t="s">
        <v>869</v>
      </c>
      <c r="K472" s="60" t="str">
        <f t="shared" si="17"/>
        <v>Just Kids by Patti Smith</v>
      </c>
    </row>
    <row r="473" outlineLevel="1">
      <c r="A473" s="30"/>
      <c r="B473" s="59" t="str">
        <f t="shared" si="16"/>
        <v>Kidnap: Inside the Ransom Business</v>
      </c>
      <c r="C473" s="32" t="s">
        <v>10</v>
      </c>
      <c r="D473" s="33"/>
      <c r="E473" s="33"/>
      <c r="F473" s="33" t="s">
        <v>51</v>
      </c>
      <c r="G473" s="36"/>
      <c r="H473" s="60" t="s">
        <v>870</v>
      </c>
      <c r="I473" s="36"/>
      <c r="J473" s="36" t="s">
        <v>871</v>
      </c>
      <c r="K473" s="60" t="str">
        <f t="shared" si="17"/>
        <v>Kidnap: Inside the Ransom Business by Anja Shortland</v>
      </c>
    </row>
    <row r="474" outlineLevel="1">
      <c r="A474" s="30"/>
      <c r="B474" s="59" t="str">
        <f t="shared" si="16"/>
        <v>Kill for Me, Kill for You: A Novel</v>
      </c>
      <c r="C474" s="32" t="s">
        <v>10</v>
      </c>
      <c r="D474" s="33"/>
      <c r="E474" s="33"/>
      <c r="F474" s="33" t="s">
        <v>51</v>
      </c>
      <c r="G474" s="36"/>
      <c r="H474" s="60" t="s">
        <v>872</v>
      </c>
      <c r="I474" s="36"/>
      <c r="J474" s="36" t="s">
        <v>873</v>
      </c>
      <c r="K474" s="60" t="str">
        <f t="shared" si="17"/>
        <v>Kill for Me, Kill for You: A Novel by Stephanie Cannon, Steve Cavanagh</v>
      </c>
    </row>
    <row r="475" outlineLevel="1">
      <c r="A475" s="30"/>
      <c r="B475" s="59" t="str">
        <f t="shared" si="16"/>
        <v>Killers of the Flower Moon: The Osage Murders and the Birth of the FBI</v>
      </c>
      <c r="C475" s="32" t="s">
        <v>10</v>
      </c>
      <c r="D475" s="33"/>
      <c r="E475" s="33"/>
      <c r="F475" s="33" t="s">
        <v>51</v>
      </c>
      <c r="G475" s="36"/>
      <c r="H475" s="60" t="s">
        <v>874</v>
      </c>
      <c r="I475" s="36"/>
      <c r="J475" s="36" t="s">
        <v>875</v>
      </c>
      <c r="K475" s="60" t="str">
        <f t="shared" si="17"/>
        <v>Killers of the Flower Moon: The Osage Murders and the Birth of the FBI by David Grann</v>
      </c>
    </row>
    <row r="476" outlineLevel="1">
      <c r="A476" s="30"/>
      <c r="B476" s="59" t="str">
        <f t="shared" si="16"/>
        <v>Killing a King: The Assassination of Yitzhak Rabin and the Remaking of Israel</v>
      </c>
      <c r="C476" s="32" t="s">
        <v>10</v>
      </c>
      <c r="D476" s="33"/>
      <c r="E476" s="33"/>
      <c r="F476" s="33" t="s">
        <v>51</v>
      </c>
      <c r="G476" s="36"/>
      <c r="H476" s="60" t="s">
        <v>876</v>
      </c>
      <c r="I476" s="36"/>
      <c r="J476" s="36" t="s">
        <v>877</v>
      </c>
      <c r="K476" s="60" t="str">
        <f t="shared" si="17"/>
        <v>Killing a King: The Assassination of Yitzhak Rabin and the Remaking of Israel by Dan Ephron</v>
      </c>
    </row>
    <row r="477" outlineLevel="1">
      <c r="A477" s="30"/>
      <c r="B477" s="59" t="str">
        <f t="shared" si="16"/>
        <v>King: A Life</v>
      </c>
      <c r="C477" s="32" t="s">
        <v>22</v>
      </c>
      <c r="D477" s="33"/>
      <c r="E477" s="33"/>
      <c r="F477" s="33" t="s">
        <v>51</v>
      </c>
      <c r="G477" s="36"/>
      <c r="H477" s="60" t="s">
        <v>878</v>
      </c>
      <c r="I477" s="36"/>
      <c r="J477" s="36" t="s">
        <v>879</v>
      </c>
      <c r="K477" s="60" t="str">
        <f t="shared" si="17"/>
        <v>King: A Life by Jonathan Eig</v>
      </c>
    </row>
    <row r="478" outlineLevel="1">
      <c r="A478" s="30"/>
      <c r="B478" s="59" t="str">
        <f t="shared" si="16"/>
        <v>Kingmaker: Pamela Harriman's Astonishing Life of Power, Seduction, and Intrigue</v>
      </c>
      <c r="C478" s="32" t="s">
        <v>22</v>
      </c>
      <c r="D478" s="33"/>
      <c r="E478" s="33"/>
      <c r="F478" s="33" t="s">
        <v>51</v>
      </c>
      <c r="G478" s="36"/>
      <c r="H478" s="60" t="s">
        <v>880</v>
      </c>
      <c r="I478" s="36"/>
      <c r="J478" s="36" t="s">
        <v>881</v>
      </c>
      <c r="K478" s="60" t="str">
        <f t="shared" si="17"/>
        <v>Kingmaker: Pamela Harriman's Astonishing Life of Power, Seduction, and Intrigue by Sonia Purnell</v>
      </c>
    </row>
    <row r="479" outlineLevel="1">
      <c r="A479" s="30"/>
      <c r="B479" s="59" t="str">
        <f t="shared" si="16"/>
        <v>Klara and the Sun: A GMA Book Club Pick: A novel</v>
      </c>
      <c r="C479" s="32" t="s">
        <v>10</v>
      </c>
      <c r="D479" s="33"/>
      <c r="E479" s="33"/>
      <c r="F479" s="33" t="s">
        <v>51</v>
      </c>
      <c r="G479" s="36"/>
      <c r="H479" s="60" t="s">
        <v>882</v>
      </c>
      <c r="I479" s="36"/>
      <c r="J479" s="36" t="s">
        <v>883</v>
      </c>
      <c r="K479" s="60" t="str">
        <f t="shared" si="17"/>
        <v>Klara and the Sun: A GMA Book Club Pick: A novel by Kazuo Ishiguro</v>
      </c>
    </row>
    <row r="480" outlineLevel="1">
      <c r="A480" s="30"/>
      <c r="B480" s="59" t="str">
        <f t="shared" si="16"/>
        <v>Lab Girl: A Memoir</v>
      </c>
      <c r="C480" s="32" t="s">
        <v>10</v>
      </c>
      <c r="D480" s="33"/>
      <c r="E480" s="33"/>
      <c r="F480" s="33" t="s">
        <v>51</v>
      </c>
      <c r="G480" s="36"/>
      <c r="H480" s="60" t="s">
        <v>884</v>
      </c>
      <c r="I480" s="36"/>
      <c r="J480" s="36" t="s">
        <v>885</v>
      </c>
      <c r="K480" s="60" t="str">
        <f t="shared" si="17"/>
        <v>Lab Girl: A Memoir by Hope Jahren, Random House Audio</v>
      </c>
    </row>
    <row r="481" outlineLevel="1">
      <c r="A481" s="30"/>
      <c r="B481" s="59" t="str">
        <f t="shared" si="16"/>
        <v>Lady Justice: Women, the Law, and the Battle to Save America</v>
      </c>
      <c r="C481" s="32" t="s">
        <v>22</v>
      </c>
      <c r="D481" s="33"/>
      <c r="E481" s="33"/>
      <c r="F481" s="33" t="s">
        <v>51</v>
      </c>
      <c r="G481" s="36"/>
      <c r="H481" s="60" t="s">
        <v>886</v>
      </c>
      <c r="I481" s="36"/>
      <c r="J481" s="36" t="s">
        <v>887</v>
      </c>
      <c r="K481" s="60" t="str">
        <f t="shared" si="17"/>
        <v>Lady Justice: Women, the Law, and the Battle to Save America by Dahlia Lithwick</v>
      </c>
    </row>
    <row r="482" outlineLevel="1">
      <c r="A482" s="30"/>
      <c r="B482" s="59" t="str">
        <f t="shared" si="16"/>
        <v>LaRose: A Novel</v>
      </c>
      <c r="C482" s="32" t="s">
        <v>10</v>
      </c>
      <c r="D482" s="33"/>
      <c r="E482" s="33"/>
      <c r="F482" s="33" t="s">
        <v>51</v>
      </c>
      <c r="G482" s="36"/>
      <c r="H482" s="60" t="s">
        <v>888</v>
      </c>
      <c r="I482" s="36"/>
      <c r="J482" s="36" t="s">
        <v>889</v>
      </c>
      <c r="K482" s="60" t="str">
        <f t="shared" si="17"/>
        <v>LaRose: A Novel by Louise Erdrich</v>
      </c>
    </row>
    <row r="483" outlineLevel="1">
      <c r="A483" s="30"/>
      <c r="B483" s="59" t="str">
        <f t="shared" si="16"/>
        <v>Last Boat Out of Shanghai: The Epic Story of the Chinese Who Fled Mao's Revolution</v>
      </c>
      <c r="C483" s="32" t="s">
        <v>10</v>
      </c>
      <c r="D483" s="33"/>
      <c r="E483" s="33"/>
      <c r="F483" s="33" t="s">
        <v>51</v>
      </c>
      <c r="G483" s="36"/>
      <c r="H483" s="60" t="s">
        <v>890</v>
      </c>
      <c r="I483" s="36"/>
      <c r="J483" s="36" t="s">
        <v>891</v>
      </c>
      <c r="K483" s="60" t="str">
        <f t="shared" si="17"/>
        <v>Last Boat Out of Shanghai: The Epic Story of the Chinese Who Fled Mao's Revolution by Helen Zia</v>
      </c>
    </row>
    <row r="484" outlineLevel="1">
      <c r="A484" s="30"/>
      <c r="B484" s="59" t="str">
        <f t="shared" si="16"/>
        <v>Lawrence in Arabia: War, Deceit, Imperial Folly and the Making of the Modern Middle East</v>
      </c>
      <c r="C484" s="32" t="s">
        <v>10</v>
      </c>
      <c r="D484" s="33"/>
      <c r="E484" s="33"/>
      <c r="F484" s="33" t="s">
        <v>51</v>
      </c>
      <c r="G484" s="36"/>
      <c r="H484" s="60" t="s">
        <v>124</v>
      </c>
      <c r="I484" s="36"/>
      <c r="J484" s="36" t="s">
        <v>892</v>
      </c>
      <c r="K484" s="60" t="str">
        <f t="shared" si="17"/>
        <v>Lawrence in Arabia: War, Deceit, Imperial Folly and the Making of the Modern Middle East by Scott Anderson</v>
      </c>
    </row>
    <row r="485" outlineLevel="1">
      <c r="A485" s="30"/>
      <c r="B485" s="59" t="str">
        <f t="shared" si="16"/>
        <v>Lawrence in Arabia: War, Deceit, Imperial Folly and the Making of the Modern Middle East (ALA Notable Books for Adults)</v>
      </c>
      <c r="C485" s="32" t="s">
        <v>10</v>
      </c>
      <c r="D485" s="33"/>
      <c r="E485" s="33"/>
      <c r="F485" s="33" t="s">
        <v>51</v>
      </c>
      <c r="G485" s="36"/>
      <c r="H485" s="60" t="s">
        <v>124</v>
      </c>
      <c r="I485" s="36"/>
      <c r="J485" s="36" t="s">
        <v>893</v>
      </c>
      <c r="K485" s="60" t="str">
        <f t="shared" si="17"/>
        <v>Lawrence in Arabia: War, Deceit, Imperial Folly and the Making of the Modern Middle East (ALA Notable Books for Adults) by Scott Anderson</v>
      </c>
    </row>
    <row r="486" outlineLevel="1">
      <c r="A486" s="30"/>
      <c r="B486" s="59" t="str">
        <f t="shared" si="16"/>
        <v>Leadership</v>
      </c>
      <c r="C486" s="32" t="s">
        <v>22</v>
      </c>
      <c r="D486" s="33"/>
      <c r="E486" s="33"/>
      <c r="F486" s="33" t="s">
        <v>51</v>
      </c>
      <c r="G486" s="36"/>
      <c r="H486" s="60" t="s">
        <v>894</v>
      </c>
      <c r="I486" s="36"/>
      <c r="J486" s="36" t="s">
        <v>895</v>
      </c>
      <c r="K486" s="60" t="str">
        <f t="shared" si="17"/>
        <v>Leadership by James MacGregor Burns</v>
      </c>
    </row>
    <row r="487" outlineLevel="1">
      <c r="A487" s="30"/>
      <c r="B487" s="59" t="str">
        <f t="shared" si="16"/>
        <v>Leadership and Teams: The Missing Piece of the Educational Reform Puzzle</v>
      </c>
      <c r="C487" s="32" t="s">
        <v>22</v>
      </c>
      <c r="D487" s="33"/>
      <c r="E487" s="33"/>
      <c r="F487" s="33" t="s">
        <v>51</v>
      </c>
      <c r="G487" s="36"/>
      <c r="H487" s="60" t="s">
        <v>896</v>
      </c>
      <c r="I487" s="36"/>
      <c r="J487" s="36" t="s">
        <v>897</v>
      </c>
      <c r="K487" s="60" t="str">
        <f t="shared" si="17"/>
        <v>Leadership and Teams: The Missing Piece of the Educational Reform Puzzle by Lyle Kirtman</v>
      </c>
    </row>
    <row r="488" outlineLevel="1">
      <c r="A488" s="30"/>
      <c r="B488" s="59" t="str">
        <f t="shared" si="16"/>
        <v>Leadership at Scale: Better leadership, better results</v>
      </c>
      <c r="C488" s="32" t="s">
        <v>10</v>
      </c>
      <c r="D488" s="33"/>
      <c r="E488" s="33"/>
      <c r="F488" s="33" t="s">
        <v>51</v>
      </c>
      <c r="G488" s="36"/>
      <c r="H488" s="60" t="s">
        <v>898</v>
      </c>
      <c r="I488" s="36"/>
      <c r="J488" s="36" t="s">
        <v>899</v>
      </c>
      <c r="K488" s="60" t="str">
        <f t="shared" si="17"/>
        <v>Leadership at Scale: Better leadership, better results by Nicolai Nielsen</v>
      </c>
    </row>
    <row r="489" outlineLevel="1">
      <c r="A489" s="30"/>
      <c r="B489" s="59" t="str">
        <f t="shared" si="16"/>
        <v>Leadership Strategy and Tactics: Field Manual Expanded Edition</v>
      </c>
      <c r="C489" s="32" t="s">
        <v>22</v>
      </c>
      <c r="D489" s="33"/>
      <c r="E489" s="33"/>
      <c r="F489" s="33" t="s">
        <v>51</v>
      </c>
      <c r="G489" s="36"/>
      <c r="H489" s="60" t="s">
        <v>900</v>
      </c>
      <c r="I489" s="36"/>
      <c r="J489" s="36" t="s">
        <v>901</v>
      </c>
      <c r="K489" s="60" t="str">
        <f t="shared" si="17"/>
        <v>Leadership Strategy and Tactics: Field Manual Expanded Edition by Jocko Willink</v>
      </c>
    </row>
    <row r="490" outlineLevel="1">
      <c r="A490" s="30"/>
      <c r="B490" s="59" t="str">
        <f t="shared" si="16"/>
        <v>Leadership: In Turbulent Times</v>
      </c>
      <c r="C490" s="32" t="s">
        <v>22</v>
      </c>
      <c r="D490" s="33"/>
      <c r="E490" s="33"/>
      <c r="F490" s="33" t="s">
        <v>51</v>
      </c>
      <c r="G490" s="36"/>
      <c r="H490" s="60" t="s">
        <v>388</v>
      </c>
      <c r="I490" s="36"/>
      <c r="J490" s="36" t="s">
        <v>902</v>
      </c>
      <c r="K490" s="60" t="str">
        <f t="shared" si="17"/>
        <v>Leadership: In Turbulent Times by Doris Kearns Goodwin</v>
      </c>
    </row>
    <row r="491" outlineLevel="1">
      <c r="A491" s="30"/>
      <c r="B491" s="59" t="str">
        <f t="shared" si="16"/>
        <v>Leading from Your Best Self: Develop Executive Poise, Presence, and Influence to Maximize Your Potential</v>
      </c>
      <c r="C491" s="32" t="s">
        <v>22</v>
      </c>
      <c r="D491" s="33"/>
      <c r="E491" s="33"/>
      <c r="F491" s="33" t="s">
        <v>51</v>
      </c>
      <c r="G491" s="36"/>
      <c r="H491" s="60" t="s">
        <v>903</v>
      </c>
      <c r="I491" s="36"/>
      <c r="J491" s="36" t="s">
        <v>904</v>
      </c>
      <c r="K491" s="60" t="str">
        <f t="shared" si="17"/>
        <v>Leading from Your Best Self: Develop Executive Poise, Presence, and Influence to Maximize Your Potential by Rob Salafia</v>
      </c>
    </row>
    <row r="492" outlineLevel="1">
      <c r="A492" s="30"/>
      <c r="B492" s="59" t="str">
        <f t="shared" si="16"/>
        <v>Leading With Kindness: How Good People Consistently Get Superior Results</v>
      </c>
      <c r="C492" s="32" t="s">
        <v>10</v>
      </c>
      <c r="D492" s="33"/>
      <c r="E492" s="33"/>
      <c r="F492" s="33" t="s">
        <v>51</v>
      </c>
      <c r="G492" s="36"/>
      <c r="H492" s="60" t="s">
        <v>905</v>
      </c>
      <c r="I492" s="36"/>
      <c r="J492" s="36" t="s">
        <v>906</v>
      </c>
      <c r="K492" s="60" t="str">
        <f t="shared" si="17"/>
        <v>Leading With Kindness: How Good People Consistently Get Superior Results by William F. Baker, Michael O'Malley</v>
      </c>
    </row>
    <row r="493" outlineLevel="1">
      <c r="A493" s="30"/>
      <c r="B493" s="59" t="str">
        <f t="shared" si="16"/>
        <v>Leaving Before the Rains Come</v>
      </c>
      <c r="C493" s="32" t="s">
        <v>10</v>
      </c>
      <c r="D493" s="33"/>
      <c r="E493" s="33"/>
      <c r="F493" s="33" t="s">
        <v>51</v>
      </c>
      <c r="G493" s="36"/>
      <c r="H493" s="60" t="s">
        <v>907</v>
      </c>
      <c r="I493" s="36"/>
      <c r="J493" s="36" t="s">
        <v>908</v>
      </c>
      <c r="K493" s="60" t="str">
        <f t="shared" si="17"/>
        <v>Leaving Before the Rains Come by Alexandra Fuller</v>
      </c>
    </row>
    <row r="494" outlineLevel="1">
      <c r="A494" s="30"/>
      <c r="B494" s="59" t="str">
        <f t="shared" si="16"/>
        <v>Legacy of Ash (The Legacy Trilogy Book 1)</v>
      </c>
      <c r="C494" s="32" t="s">
        <v>10</v>
      </c>
      <c r="D494" s="33"/>
      <c r="E494" s="33"/>
      <c r="F494" s="33" t="s">
        <v>51</v>
      </c>
      <c r="G494" s="36"/>
      <c r="H494" s="60" t="s">
        <v>909</v>
      </c>
      <c r="I494" s="36"/>
      <c r="J494" s="36" t="s">
        <v>910</v>
      </c>
      <c r="K494" s="60" t="str">
        <f t="shared" si="17"/>
        <v>Legacy of Ash (The Legacy Trilogy Book 1) by Matthew Ward</v>
      </c>
    </row>
    <row r="495" outlineLevel="1">
      <c r="A495" s="30"/>
      <c r="B495" s="59" t="str">
        <f t="shared" si="16"/>
        <v>Legality</v>
      </c>
      <c r="C495" s="32" t="s">
        <v>10</v>
      </c>
      <c r="D495" s="33"/>
      <c r="E495" s="33"/>
      <c r="F495" s="33" t="s">
        <v>51</v>
      </c>
      <c r="G495" s="36"/>
      <c r="H495" s="60" t="s">
        <v>911</v>
      </c>
      <c r="I495" s="36"/>
      <c r="J495" s="36" t="s">
        <v>912</v>
      </c>
      <c r="K495" s="60" t="str">
        <f t="shared" si="17"/>
        <v>Legality by Scott J. Shapiro</v>
      </c>
    </row>
    <row r="496" outlineLevel="1">
      <c r="A496" s="30"/>
      <c r="B496" s="59" t="str">
        <f t="shared" si="16"/>
        <v>Lend Me Your Ears: Great Speeches in History</v>
      </c>
      <c r="C496" s="32" t="s">
        <v>10</v>
      </c>
      <c r="D496" s="33"/>
      <c r="E496" s="33"/>
      <c r="F496" s="33" t="s">
        <v>51</v>
      </c>
      <c r="G496" s="36"/>
      <c r="H496" s="60" t="s">
        <v>913</v>
      </c>
      <c r="I496" s="36"/>
      <c r="J496" s="36" t="s">
        <v>914</v>
      </c>
      <c r="K496" s="60" t="str">
        <f t="shared" si="17"/>
        <v>Lend Me Your Ears: Great Speeches in History by William Safire</v>
      </c>
    </row>
    <row r="497" outlineLevel="1">
      <c r="A497" s="30"/>
      <c r="B497" s="59" t="str">
        <f t="shared" si="16"/>
        <v>Leonardo da Vinci</v>
      </c>
      <c r="C497" s="32" t="s">
        <v>22</v>
      </c>
      <c r="D497" s="33"/>
      <c r="E497" s="33"/>
      <c r="F497" s="33" t="s">
        <v>51</v>
      </c>
      <c r="G497" s="36"/>
      <c r="H497" s="60" t="s">
        <v>461</v>
      </c>
      <c r="I497" s="36"/>
      <c r="J497" s="36" t="s">
        <v>915</v>
      </c>
      <c r="K497" s="60" t="str">
        <f t="shared" si="17"/>
        <v>Leonardo da Vinci by Walter Isaacson</v>
      </c>
    </row>
    <row r="498" outlineLevel="1">
      <c r="A498" s="30"/>
      <c r="B498" s="59" t="str">
        <f t="shared" si="16"/>
        <v>Less: A Novel (The Arthur Books, 1)</v>
      </c>
      <c r="C498" s="32" t="s">
        <v>10</v>
      </c>
      <c r="D498" s="33"/>
      <c r="E498" s="33"/>
      <c r="F498" s="33" t="s">
        <v>51</v>
      </c>
      <c r="G498" s="36"/>
      <c r="H498" s="60" t="s">
        <v>916</v>
      </c>
      <c r="I498" s="36"/>
      <c r="J498" s="36" t="s">
        <v>917</v>
      </c>
      <c r="K498" s="60" t="str">
        <f t="shared" si="17"/>
        <v>Less: A Novel (The Arthur Books, 1) by Andrew Sean Greer</v>
      </c>
    </row>
    <row r="499" outlineLevel="1">
      <c r="A499" s="30"/>
      <c r="B499" s="59" t="str">
        <f t="shared" si="16"/>
        <v>Lessons in Chemistry: A Novel</v>
      </c>
      <c r="C499" s="32" t="s">
        <v>10</v>
      </c>
      <c r="D499" s="33"/>
      <c r="E499" s="33"/>
      <c r="F499" s="33" t="s">
        <v>51</v>
      </c>
      <c r="G499" s="36"/>
      <c r="H499" s="60" t="s">
        <v>918</v>
      </c>
      <c r="I499" s="36"/>
      <c r="J499" s="36" t="s">
        <v>919</v>
      </c>
      <c r="K499" s="60" t="str">
        <f t="shared" si="17"/>
        <v>Lessons in Chemistry: A Novel by Miranda Raison, Bonnie Garmus</v>
      </c>
    </row>
    <row r="500" outlineLevel="1">
      <c r="A500" s="30"/>
      <c r="B500" s="59" t="str">
        <f t="shared" si="16"/>
        <v>Let's Pretend This Never Happened: A Mostly True Memoir</v>
      </c>
      <c r="C500" s="32" t="s">
        <v>10</v>
      </c>
      <c r="D500" s="33"/>
      <c r="E500" s="33"/>
      <c r="F500" s="33" t="s">
        <v>51</v>
      </c>
      <c r="G500" s="36"/>
      <c r="H500" s="60" t="s">
        <v>920</v>
      </c>
      <c r="I500" s="36"/>
      <c r="J500" s="36" t="s">
        <v>921</v>
      </c>
      <c r="K500" s="60" t="str">
        <f t="shared" si="17"/>
        <v>Let's Pretend This Never Happened: A Mostly True Memoir by Jenny Lawson</v>
      </c>
    </row>
    <row r="501" outlineLevel="1">
      <c r="A501" s="30"/>
      <c r="B501" s="59" t="str">
        <f t="shared" si="16"/>
        <v>Letters of a Nation</v>
      </c>
      <c r="C501" s="32" t="s">
        <v>10</v>
      </c>
      <c r="D501" s="33"/>
      <c r="E501" s="33"/>
      <c r="F501" s="33" t="s">
        <v>51</v>
      </c>
      <c r="G501" s="36"/>
      <c r="H501" s="60" t="s">
        <v>922</v>
      </c>
      <c r="I501" s="36"/>
      <c r="J501" s="36" t="s">
        <v>923</v>
      </c>
      <c r="K501" s="60" t="str">
        <f t="shared" si="17"/>
        <v>Letters of a Nation by Andrew Carroll</v>
      </c>
    </row>
    <row r="502" outlineLevel="1">
      <c r="A502" s="30"/>
      <c r="B502" s="59" t="str">
        <f t="shared" si="16"/>
        <v>Leviathan Wakes</v>
      </c>
      <c r="C502" s="32" t="s">
        <v>10</v>
      </c>
      <c r="D502" s="33"/>
      <c r="E502" s="33"/>
      <c r="F502" s="33" t="s">
        <v>51</v>
      </c>
      <c r="G502" s="36"/>
      <c r="H502" s="60" t="s">
        <v>341</v>
      </c>
      <c r="I502" s="36"/>
      <c r="J502" s="36" t="s">
        <v>924</v>
      </c>
      <c r="K502" s="60" t="str">
        <f t="shared" si="17"/>
        <v>Leviathan Wakes by James S. A. Corey</v>
      </c>
    </row>
    <row r="503" outlineLevel="1">
      <c r="A503" s="30"/>
      <c r="B503" s="59" t="str">
        <f t="shared" si="16"/>
        <v>Liar in a Crowded Theater: Freedom of Speech in a World of Misinformation</v>
      </c>
      <c r="C503" s="32" t="s">
        <v>22</v>
      </c>
      <c r="D503" s="33"/>
      <c r="E503" s="33"/>
      <c r="F503" s="33" t="s">
        <v>51</v>
      </c>
      <c r="G503" s="36"/>
      <c r="H503" s="60" t="s">
        <v>925</v>
      </c>
      <c r="I503" s="36"/>
      <c r="J503" s="36" t="s">
        <v>926</v>
      </c>
      <c r="K503" s="60" t="str">
        <f t="shared" si="17"/>
        <v>Liar in a Crowded Theater: Freedom of Speech in a World of Misinformation by Jeff Kosseff</v>
      </c>
    </row>
    <row r="504" outlineLevel="1">
      <c r="A504" s="30"/>
      <c r="B504" s="59" t="str">
        <f t="shared" si="16"/>
        <v>Liar's Poker</v>
      </c>
      <c r="C504" s="32" t="s">
        <v>22</v>
      </c>
      <c r="D504" s="33"/>
      <c r="E504" s="33"/>
      <c r="F504" s="33" t="s">
        <v>51</v>
      </c>
      <c r="G504" s="36"/>
      <c r="H504" s="60" t="s">
        <v>706</v>
      </c>
      <c r="I504" s="36"/>
      <c r="J504" s="36" t="s">
        <v>927</v>
      </c>
      <c r="K504" s="60" t="str">
        <f t="shared" si="17"/>
        <v>Liar's Poker by Michael Lewis</v>
      </c>
    </row>
    <row r="505" outlineLevel="1">
      <c r="A505" s="30"/>
      <c r="B505" s="59" t="str">
        <f t="shared" si="16"/>
        <v>Life After Life: A Novel</v>
      </c>
      <c r="C505" s="32" t="s">
        <v>10</v>
      </c>
      <c r="D505" s="33"/>
      <c r="E505" s="33"/>
      <c r="F505" s="33" t="s">
        <v>51</v>
      </c>
      <c r="G505" s="36"/>
      <c r="H505" s="60" t="s">
        <v>928</v>
      </c>
      <c r="I505" s="36"/>
      <c r="J505" s="36" t="s">
        <v>929</v>
      </c>
      <c r="K505" s="60" t="str">
        <f t="shared" si="17"/>
        <v>Life After Life: A Novel by Kate Atkinson</v>
      </c>
    </row>
    <row r="506" outlineLevel="1">
      <c r="A506" s="30"/>
      <c r="B506" s="59" t="str">
        <f t="shared" si="16"/>
        <v>Life as We Knew It (Life As We Knew It Series, 1)</v>
      </c>
      <c r="C506" s="32" t="s">
        <v>10</v>
      </c>
      <c r="D506" s="33"/>
      <c r="E506" s="33"/>
      <c r="F506" s="33" t="s">
        <v>51</v>
      </c>
      <c r="G506" s="36"/>
      <c r="H506" s="60" t="s">
        <v>930</v>
      </c>
      <c r="I506" s="36"/>
      <c r="J506" s="36" t="s">
        <v>931</v>
      </c>
      <c r="K506" s="60" t="str">
        <f t="shared" si="17"/>
        <v>Life as We Knew It (Life As We Knew It Series, 1) by Susan Beth Pfeffer</v>
      </c>
    </row>
    <row r="507" outlineLevel="1">
      <c r="A507" s="30"/>
      <c r="B507" s="59" t="str">
        <f t="shared" si="16"/>
        <v>Life in Three Dimensions: How Curiosity, Exploration, and Experience Make a Fuller, Better Life</v>
      </c>
      <c r="C507" s="32" t="s">
        <v>22</v>
      </c>
      <c r="D507" s="33"/>
      <c r="E507" s="33"/>
      <c r="F507" s="33" t="s">
        <v>51</v>
      </c>
      <c r="G507" s="36"/>
      <c r="H507" s="60" t="s">
        <v>932</v>
      </c>
      <c r="I507" s="36"/>
      <c r="J507" s="36" t="s">
        <v>933</v>
      </c>
      <c r="K507" s="60" t="str">
        <f t="shared" si="17"/>
        <v>Life in Three Dimensions: How Curiosity, Exploration, and Experience Make a Fuller, Better Life by Shigehiro Oishi PhD</v>
      </c>
    </row>
    <row r="508" outlineLevel="1">
      <c r="A508" s="30"/>
      <c r="B508" s="59" t="str">
        <f t="shared" si="16"/>
        <v>Life Is in the Transitions: Mastering Change at Any Age</v>
      </c>
      <c r="C508" s="32" t="s">
        <v>10</v>
      </c>
      <c r="D508" s="33"/>
      <c r="E508" s="33"/>
      <c r="F508" s="33" t="s">
        <v>51</v>
      </c>
      <c r="G508" s="36"/>
      <c r="H508" s="60" t="s">
        <v>934</v>
      </c>
      <c r="I508" s="36"/>
      <c r="J508" s="36" t="s">
        <v>935</v>
      </c>
      <c r="K508" s="60" t="str">
        <f t="shared" si="17"/>
        <v>Life Is in the Transitions: Mastering Change at Any Age by Bruce Feiler</v>
      </c>
    </row>
    <row r="509" outlineLevel="1">
      <c r="A509" s="30"/>
      <c r="B509" s="59" t="str">
        <f t="shared" si="16"/>
        <v>Lincoln in the Bardo: A Novel</v>
      </c>
      <c r="C509" s="32" t="s">
        <v>10</v>
      </c>
      <c r="D509" s="33"/>
      <c r="E509" s="33"/>
      <c r="F509" s="33" t="s">
        <v>51</v>
      </c>
      <c r="G509" s="36"/>
      <c r="H509" s="60" t="s">
        <v>936</v>
      </c>
      <c r="I509" s="36"/>
      <c r="J509" s="36" t="s">
        <v>937</v>
      </c>
      <c r="K509" s="60" t="str">
        <f t="shared" si="17"/>
        <v>Lincoln in the Bardo: A Novel by George Saunders</v>
      </c>
    </row>
    <row r="510" outlineLevel="1">
      <c r="A510" s="30"/>
      <c r="B510" s="59" t="str">
        <f t="shared" si="16"/>
        <v>Lincoln's Last Trial: The Murder Case That Propelled Him to the Presidency</v>
      </c>
      <c r="C510" s="32" t="s">
        <v>22</v>
      </c>
      <c r="D510" s="33"/>
      <c r="E510" s="33"/>
      <c r="F510" s="33" t="s">
        <v>51</v>
      </c>
      <c r="G510" s="36"/>
      <c r="H510" s="60" t="s">
        <v>938</v>
      </c>
      <c r="I510" s="36"/>
      <c r="J510" s="36" t="s">
        <v>939</v>
      </c>
      <c r="K510" s="60" t="str">
        <f t="shared" si="17"/>
        <v>Lincoln's Last Trial: The Murder Case That Propelled Him to the Presidency by David Fisher, Dan Abrams</v>
      </c>
    </row>
    <row r="511" outlineLevel="1">
      <c r="A511" s="30"/>
      <c r="B511" s="59" t="str">
        <f t="shared" si="16"/>
        <v>Loaded: A Disarming History of the Second Amendment (City Lights Open Media)</v>
      </c>
      <c r="C511" s="32" t="s">
        <v>10</v>
      </c>
      <c r="D511" s="33"/>
      <c r="E511" s="33"/>
      <c r="F511" s="33" t="s">
        <v>51</v>
      </c>
      <c r="G511" s="36"/>
      <c r="H511" s="60" t="s">
        <v>940</v>
      </c>
      <c r="I511" s="36"/>
      <c r="J511" s="36" t="s">
        <v>941</v>
      </c>
      <c r="K511" s="60" t="str">
        <f t="shared" si="17"/>
        <v>Loaded: A Disarming History of the Second Amendment (City Lights Open Media) by Roxanne Dunbar-Ortiz</v>
      </c>
    </row>
    <row r="512" outlineLevel="1">
      <c r="A512" s="30"/>
      <c r="B512" s="59" t="str">
        <f t="shared" si="16"/>
        <v>Lock In: A Novel of the Near Future</v>
      </c>
      <c r="C512" s="32" t="s">
        <v>10</v>
      </c>
      <c r="D512" s="33"/>
      <c r="E512" s="33"/>
      <c r="F512" s="33" t="s">
        <v>51</v>
      </c>
      <c r="G512" s="36"/>
      <c r="H512" s="60" t="s">
        <v>44</v>
      </c>
      <c r="I512" s="36"/>
      <c r="J512" s="36" t="s">
        <v>942</v>
      </c>
      <c r="K512" s="60" t="str">
        <f t="shared" si="17"/>
        <v>Lock In: A Novel of the Near Future by John Scalzi</v>
      </c>
    </row>
    <row r="513" outlineLevel="1">
      <c r="A513" s="30"/>
      <c r="B513" s="59" t="str">
        <f t="shared" si="16"/>
        <v>Look Again: The Power of Noticing What Was Always There</v>
      </c>
      <c r="C513" s="32" t="s">
        <v>22</v>
      </c>
      <c r="D513" s="33"/>
      <c r="E513" s="33"/>
      <c r="F513" s="33" t="s">
        <v>51</v>
      </c>
      <c r="G513" s="36"/>
      <c r="H513" s="60" t="s">
        <v>943</v>
      </c>
      <c r="I513" s="36"/>
      <c r="J513" s="36" t="s">
        <v>944</v>
      </c>
      <c r="K513" s="60" t="str">
        <f t="shared" si="17"/>
        <v>Look Again: The Power of Noticing What Was Always There by Tali Sharot, Cass R. Sunstein</v>
      </c>
    </row>
    <row r="514" outlineLevel="1">
      <c r="A514" s="30"/>
      <c r="B514" s="59" t="str">
        <f t="shared" si="16"/>
        <v>Loonshots: How to Nurture the Crazy Ideas That Win Wars, Cure Diseases, and Transform Industries</v>
      </c>
      <c r="C514" s="32" t="s">
        <v>22</v>
      </c>
      <c r="D514" s="33"/>
      <c r="E514" s="33"/>
      <c r="F514" s="33" t="s">
        <v>51</v>
      </c>
      <c r="G514" s="36"/>
      <c r="H514" s="60" t="s">
        <v>945</v>
      </c>
      <c r="I514" s="36"/>
      <c r="J514" s="36" t="s">
        <v>946</v>
      </c>
      <c r="K514" s="60" t="str">
        <f t="shared" si="17"/>
        <v>Loonshots: How to Nurture the Crazy Ideas That Win Wars, Cure Diseases, and Transform Industries by Safi Bahcall, William Dufris</v>
      </c>
    </row>
    <row r="515" outlineLevel="1">
      <c r="A515" s="30"/>
      <c r="B515" s="59" t="str">
        <f t="shared" si="16"/>
        <v>Losing My Mind: An Intimate Look at Life with Alzheimer's</v>
      </c>
      <c r="C515" s="32" t="s">
        <v>22</v>
      </c>
      <c r="D515" s="33"/>
      <c r="E515" s="33"/>
      <c r="F515" s="33" t="s">
        <v>51</v>
      </c>
      <c r="G515" s="36"/>
      <c r="H515" s="60" t="s">
        <v>947</v>
      </c>
      <c r="I515" s="36"/>
      <c r="J515" s="36" t="s">
        <v>948</v>
      </c>
      <c r="K515" s="60" t="str">
        <f t="shared" si="17"/>
        <v>Losing My Mind: An Intimate Look at Life with Alzheimer's by Thomas DeBaggio</v>
      </c>
    </row>
    <row r="516" outlineLevel="1">
      <c r="A516" s="30"/>
      <c r="B516" s="59" t="str">
        <f t="shared" si="16"/>
        <v>Lost Art: The Art Loss Register Casebook Volume One</v>
      </c>
      <c r="C516" s="32" t="s">
        <v>10</v>
      </c>
      <c r="D516" s="33"/>
      <c r="E516" s="33"/>
      <c r="F516" s="33" t="s">
        <v>51</v>
      </c>
      <c r="G516" s="36"/>
      <c r="H516" s="60" t="s">
        <v>870</v>
      </c>
      <c r="I516" s="36"/>
      <c r="J516" s="36" t="s">
        <v>949</v>
      </c>
      <c r="K516" s="60" t="str">
        <f t="shared" si="17"/>
        <v>Lost Art: The Art Loss Register Casebook Volume One by Anja Shortland</v>
      </c>
    </row>
    <row r="517" outlineLevel="1">
      <c r="A517" s="30"/>
      <c r="B517" s="59" t="str">
        <f t="shared" si="16"/>
        <v>Lost Children Archive: A novel</v>
      </c>
      <c r="C517" s="32" t="s">
        <v>10</v>
      </c>
      <c r="D517" s="33"/>
      <c r="E517" s="33"/>
      <c r="F517" s="33" t="s">
        <v>51</v>
      </c>
      <c r="G517" s="36"/>
      <c r="H517" s="60" t="s">
        <v>950</v>
      </c>
      <c r="I517" s="36"/>
      <c r="J517" s="36" t="s">
        <v>951</v>
      </c>
      <c r="K517" s="60" t="str">
        <f t="shared" si="17"/>
        <v>Lost Children Archive: A novel by Valeria Luiselli</v>
      </c>
    </row>
    <row r="518" outlineLevel="1">
      <c r="A518" s="30"/>
      <c r="B518" s="59" t="str">
        <f t="shared" si="16"/>
        <v>Lovely War</v>
      </c>
      <c r="C518" s="32" t="s">
        <v>10</v>
      </c>
      <c r="D518" s="33"/>
      <c r="E518" s="33"/>
      <c r="F518" s="33" t="s">
        <v>51</v>
      </c>
      <c r="G518" s="36"/>
      <c r="H518" s="60" t="s">
        <v>952</v>
      </c>
      <c r="I518" s="36"/>
      <c r="J518" s="36" t="s">
        <v>173</v>
      </c>
      <c r="K518" s="60" t="str">
        <f t="shared" si="17"/>
        <v>Lovely War by Julie Berry</v>
      </c>
    </row>
    <row r="519" outlineLevel="1">
      <c r="A519" s="30"/>
      <c r="B519" s="59" t="str">
        <f t="shared" si="16"/>
        <v>Loving What Is: Four Questions That Can Change Your Life</v>
      </c>
      <c r="C519" s="32" t="s">
        <v>22</v>
      </c>
      <c r="D519" s="33"/>
      <c r="E519" s="33"/>
      <c r="F519" s="33" t="s">
        <v>51</v>
      </c>
      <c r="G519" s="36"/>
      <c r="H519" s="60" t="s">
        <v>953</v>
      </c>
      <c r="I519" s="36"/>
      <c r="J519" s="36" t="s">
        <v>954</v>
      </c>
      <c r="K519" s="60" t="str">
        <f t="shared" si="17"/>
        <v>Loving What Is: Four Questions That Can Change Your Life by Byron Katie, Stephen Mitchell</v>
      </c>
    </row>
    <row r="520" outlineLevel="1">
      <c r="A520" s="30"/>
      <c r="B520" s="59" t="str">
        <f t="shared" si="16"/>
        <v>Lying</v>
      </c>
      <c r="C520" s="32" t="s">
        <v>10</v>
      </c>
      <c r="D520" s="33"/>
      <c r="E520" s="33"/>
      <c r="F520" s="33" t="s">
        <v>51</v>
      </c>
      <c r="G520" s="36"/>
      <c r="H520" s="60" t="s">
        <v>955</v>
      </c>
      <c r="I520" s="36"/>
      <c r="J520" s="36" t="s">
        <v>956</v>
      </c>
      <c r="K520" s="60" t="str">
        <f t="shared" si="17"/>
        <v>Lying by Sam Harris, Annaka Harris</v>
      </c>
    </row>
    <row r="521" outlineLevel="1">
      <c r="A521" s="30"/>
      <c r="B521" s="59" t="str">
        <f t="shared" si="16"/>
        <v>MaddAddam: A Novel</v>
      </c>
      <c r="C521" s="32" t="s">
        <v>10</v>
      </c>
      <c r="D521" s="33"/>
      <c r="E521" s="33"/>
      <c r="F521" s="33" t="s">
        <v>51</v>
      </c>
      <c r="G521" s="36"/>
      <c r="H521" s="60" t="s">
        <v>957</v>
      </c>
      <c r="I521" s="36"/>
      <c r="J521" s="36" t="s">
        <v>958</v>
      </c>
      <c r="K521" s="60" t="str">
        <f t="shared" si="17"/>
        <v>MaddAddam: A Novel by Margaret Atwood</v>
      </c>
    </row>
    <row r="522" outlineLevel="1">
      <c r="A522" s="30"/>
      <c r="B522" s="59" t="str">
        <f t="shared" si="16"/>
        <v>Made to Stick: Why Some Ideas Survive and Others Die</v>
      </c>
      <c r="C522" s="32" t="s">
        <v>10</v>
      </c>
      <c r="D522" s="33"/>
      <c r="E522" s="33"/>
      <c r="F522" s="33" t="s">
        <v>51</v>
      </c>
      <c r="G522" s="36"/>
      <c r="H522" s="60" t="s">
        <v>959</v>
      </c>
      <c r="I522" s="36"/>
      <c r="J522" s="36" t="s">
        <v>960</v>
      </c>
      <c r="K522" s="60" t="str">
        <f t="shared" si="17"/>
        <v>Made to Stick: Why Some Ideas Survive and Others Die by Chip Heath, Dan Heath</v>
      </c>
    </row>
    <row r="523" outlineLevel="1">
      <c r="A523" s="30"/>
      <c r="B523" s="59" t="str">
        <f t="shared" si="16"/>
        <v>Making up the Mind: How the Brain Creates Our Mental World</v>
      </c>
      <c r="C523" s="32" t="s">
        <v>22</v>
      </c>
      <c r="D523" s="33"/>
      <c r="E523" s="33"/>
      <c r="F523" s="33" t="s">
        <v>51</v>
      </c>
      <c r="G523" s="36"/>
      <c r="H523" s="60" t="s">
        <v>961</v>
      </c>
      <c r="I523" s="36"/>
      <c r="J523" s="36" t="s">
        <v>962</v>
      </c>
      <c r="K523" s="60" t="str">
        <f t="shared" si="17"/>
        <v>Making up the Mind: How the Brain Creates Our Mental World by Chris Frith</v>
      </c>
    </row>
    <row r="524" outlineLevel="1">
      <c r="A524" s="30"/>
      <c r="B524" s="59" t="str">
        <f t="shared" si="16"/>
        <v>Man Called Intrepid: The Incredible WWII Narrative Of The Hero Whose Spy Network And Secret Diplomacy Changed The Course Of History</v>
      </c>
      <c r="C524" s="32" t="s">
        <v>10</v>
      </c>
      <c r="D524" s="33"/>
      <c r="E524" s="33"/>
      <c r="F524" s="33" t="s">
        <v>51</v>
      </c>
      <c r="G524" s="36"/>
      <c r="H524" s="60" t="s">
        <v>963</v>
      </c>
      <c r="I524" s="36"/>
      <c r="J524" s="36" t="s">
        <v>964</v>
      </c>
      <c r="K524" s="60" t="str">
        <f t="shared" si="17"/>
        <v>Man Called Intrepid: The Incredible WWII Narrative Of The Hero Whose Spy Network And Secret Diplomacy Changed The Course Of History by William Stevenson</v>
      </c>
    </row>
    <row r="525" outlineLevel="1">
      <c r="A525" s="30"/>
      <c r="B525" s="59" t="str">
        <f t="shared" si="16"/>
        <v>Manhattan Beach: A Novel</v>
      </c>
      <c r="C525" s="32" t="s">
        <v>10</v>
      </c>
      <c r="D525" s="33"/>
      <c r="E525" s="33"/>
      <c r="F525" s="33" t="s">
        <v>51</v>
      </c>
      <c r="G525" s="36"/>
      <c r="H525" s="60" t="s">
        <v>335</v>
      </c>
      <c r="I525" s="36"/>
      <c r="J525" s="36" t="s">
        <v>965</v>
      </c>
      <c r="K525" s="60" t="str">
        <f t="shared" si="17"/>
        <v>Manhattan Beach: A Novel by Jennifer Egan</v>
      </c>
    </row>
    <row r="526" outlineLevel="1">
      <c r="A526" s="30"/>
      <c r="B526" s="59" t="str">
        <f t="shared" si="16"/>
        <v>Manifesto for a Moral Revolution: Practices to Build a Better World</v>
      </c>
      <c r="C526" s="32" t="s">
        <v>10</v>
      </c>
      <c r="D526" s="33"/>
      <c r="E526" s="33"/>
      <c r="F526" s="33" t="s">
        <v>51</v>
      </c>
      <c r="G526" s="36"/>
      <c r="H526" s="60" t="s">
        <v>966</v>
      </c>
      <c r="I526" s="36"/>
      <c r="J526" s="36" t="s">
        <v>967</v>
      </c>
      <c r="K526" s="60" t="str">
        <f t="shared" si="17"/>
        <v>Manifesto for a Moral Revolution: Practices to Build a Better World by Jacqueline Novogratz</v>
      </c>
    </row>
    <row r="527" outlineLevel="1">
      <c r="A527" s="30"/>
      <c r="B527" s="59" t="str">
        <f t="shared" si="16"/>
        <v>Mastering Leadership: An Integrated Framework for Breakthrough Performance and Extraordinary Business Results</v>
      </c>
      <c r="C527" s="32" t="s">
        <v>10</v>
      </c>
      <c r="D527" s="33"/>
      <c r="E527" s="33"/>
      <c r="F527" s="33" t="s">
        <v>51</v>
      </c>
      <c r="G527" s="36"/>
      <c r="H527" s="60" t="s">
        <v>968</v>
      </c>
      <c r="I527" s="36"/>
      <c r="J527" s="36" t="s">
        <v>969</v>
      </c>
      <c r="K527" s="60" t="str">
        <f t="shared" si="17"/>
        <v>Mastering Leadership: An Integrated Framework for Breakthrough Performance and Extraordinary Business Results by Robert J. Anderson, William A. Adams</v>
      </c>
    </row>
    <row r="528" outlineLevel="1">
      <c r="A528" s="30"/>
      <c r="B528" s="59" t="str">
        <f t="shared" si="16"/>
        <v>Mating in Captivity: Unlocking Erotic Intelligence</v>
      </c>
      <c r="C528" s="32" t="s">
        <v>22</v>
      </c>
      <c r="D528" s="33"/>
      <c r="E528" s="33"/>
      <c r="F528" s="33" t="s">
        <v>51</v>
      </c>
      <c r="G528" s="36"/>
      <c r="H528" s="60" t="s">
        <v>970</v>
      </c>
      <c r="I528" s="36"/>
      <c r="J528" s="36" t="s">
        <v>971</v>
      </c>
      <c r="K528" s="60" t="str">
        <f t="shared" si="17"/>
        <v>Mating in Captivity: Unlocking Erotic Intelligence by Esther Perel</v>
      </c>
    </row>
    <row r="529" outlineLevel="1">
      <c r="A529" s="30"/>
      <c r="B529" s="59" t="str">
        <f t="shared" si="16"/>
        <v>Maxims</v>
      </c>
      <c r="C529" s="32" t="s">
        <v>22</v>
      </c>
      <c r="D529" s="33"/>
      <c r="E529" s="33"/>
      <c r="F529" s="33" t="s">
        <v>51</v>
      </c>
      <c r="G529" s="36"/>
      <c r="H529" s="60" t="s">
        <v>972</v>
      </c>
      <c r="I529" s="36"/>
      <c r="J529" s="36" t="s">
        <v>973</v>
      </c>
      <c r="K529" s="60" t="str">
        <f t="shared" si="17"/>
        <v>Maxims by La Rochefoucauld, Leonard Tancock</v>
      </c>
    </row>
    <row r="530" outlineLevel="1">
      <c r="A530" s="30"/>
      <c r="B530" s="59" t="str">
        <f t="shared" si="16"/>
        <v>Me Before You</v>
      </c>
      <c r="C530" s="32" t="s">
        <v>10</v>
      </c>
      <c r="D530" s="33"/>
      <c r="E530" s="33"/>
      <c r="F530" s="33" t="s">
        <v>51</v>
      </c>
      <c r="G530" s="36"/>
      <c r="H530" s="60" t="s">
        <v>974</v>
      </c>
      <c r="I530" s="36"/>
      <c r="J530" s="36" t="s">
        <v>975</v>
      </c>
      <c r="K530" s="60" t="str">
        <f t="shared" si="17"/>
        <v>Me Before You by Jojo Moyes</v>
      </c>
    </row>
    <row r="531" outlineLevel="1">
      <c r="A531" s="30"/>
      <c r="B531" s="59" t="str">
        <f t="shared" si="16"/>
        <v>Mediocre: The Dangerous Legacy of White Male America</v>
      </c>
      <c r="C531" s="32" t="s">
        <v>10</v>
      </c>
      <c r="D531" s="33"/>
      <c r="E531" s="33"/>
      <c r="F531" s="33" t="s">
        <v>51</v>
      </c>
      <c r="G531" s="36"/>
      <c r="H531" s="60" t="s">
        <v>976</v>
      </c>
      <c r="I531" s="36"/>
      <c r="J531" s="36" t="s">
        <v>977</v>
      </c>
      <c r="K531" s="60" t="str">
        <f t="shared" si="17"/>
        <v>Mediocre: The Dangerous Legacy of White Male America by Ijeoma Oluo</v>
      </c>
    </row>
    <row r="532" outlineLevel="1">
      <c r="A532" s="30"/>
      <c r="B532" s="59" t="str">
        <f t="shared" si="16"/>
        <v>Meetings with remarkable manuscripts</v>
      </c>
      <c r="C532" s="32" t="s">
        <v>10</v>
      </c>
      <c r="D532" s="33"/>
      <c r="E532" s="33"/>
      <c r="F532" s="33" t="s">
        <v>51</v>
      </c>
      <c r="G532" s="36"/>
      <c r="H532" s="60" t="s">
        <v>978</v>
      </c>
      <c r="I532" s="36"/>
      <c r="J532" s="36" t="s">
        <v>979</v>
      </c>
      <c r="K532" s="60" t="str">
        <f t="shared" si="17"/>
        <v>Meetings with remarkable manuscripts by De Hamel Christophe</v>
      </c>
    </row>
    <row r="533" outlineLevel="1">
      <c r="A533" s="30"/>
      <c r="B533" s="59" t="str">
        <f t="shared" si="16"/>
        <v>Men Without Women: Stories</v>
      </c>
      <c r="C533" s="32" t="s">
        <v>10</v>
      </c>
      <c r="D533" s="33"/>
      <c r="E533" s="33"/>
      <c r="F533" s="33" t="s">
        <v>51</v>
      </c>
      <c r="G533" s="36"/>
      <c r="H533" s="60" t="s">
        <v>980</v>
      </c>
      <c r="I533" s="36"/>
      <c r="J533" s="36" t="s">
        <v>981</v>
      </c>
      <c r="K533" s="60" t="str">
        <f t="shared" si="17"/>
        <v>Men Without Women: Stories by Kirby Heyborne, Haruki Murakami</v>
      </c>
    </row>
    <row r="534" outlineLevel="1">
      <c r="A534" s="30"/>
      <c r="B534" s="59" t="str">
        <f t="shared" si="16"/>
        <v>Merchants of Truth: The Business of News and the Fight for Facts</v>
      </c>
      <c r="C534" s="32" t="s">
        <v>10</v>
      </c>
      <c r="D534" s="33"/>
      <c r="E534" s="33"/>
      <c r="F534" s="33" t="s">
        <v>51</v>
      </c>
      <c r="G534" s="36"/>
      <c r="H534" s="60" t="s">
        <v>982</v>
      </c>
      <c r="I534" s="36"/>
      <c r="J534" s="36" t="s">
        <v>983</v>
      </c>
      <c r="K534" s="60" t="str">
        <f t="shared" si="17"/>
        <v>Merchants of Truth: The Business of News and the Fight for Facts by Jill Abramson</v>
      </c>
    </row>
    <row r="535" outlineLevel="1">
      <c r="A535" s="30"/>
      <c r="B535" s="59" t="str">
        <f t="shared" si="16"/>
        <v>Messing with the Enemy: Surviving in a Social Media World of Hackers, Terrorists, Russians, and Fake News</v>
      </c>
      <c r="C535" s="32" t="s">
        <v>10</v>
      </c>
      <c r="D535" s="33"/>
      <c r="E535" s="33"/>
      <c r="F535" s="33" t="s">
        <v>51</v>
      </c>
      <c r="G535" s="36"/>
      <c r="H535" s="60" t="s">
        <v>984</v>
      </c>
      <c r="I535" s="36"/>
      <c r="J535" s="36" t="s">
        <v>985</v>
      </c>
      <c r="K535" s="60" t="str">
        <f t="shared" si="17"/>
        <v>Messing with the Enemy: Surviving in a Social Media World of Hackers, Terrorists, Russians, and Fake News by Clint Watts</v>
      </c>
    </row>
    <row r="536" outlineLevel="1">
      <c r="A536" s="30"/>
      <c r="B536" s="59" t="str">
        <f t="shared" si="16"/>
        <v>Metropolitan Stories: A Novel</v>
      </c>
      <c r="C536" s="32" t="s">
        <v>10</v>
      </c>
      <c r="D536" s="33"/>
      <c r="E536" s="33"/>
      <c r="F536" s="33" t="s">
        <v>51</v>
      </c>
      <c r="G536" s="36"/>
      <c r="H536" s="60" t="s">
        <v>986</v>
      </c>
      <c r="I536" s="36"/>
      <c r="J536" s="36" t="s">
        <v>987</v>
      </c>
      <c r="K536" s="60" t="str">
        <f t="shared" si="17"/>
        <v>Metropolitan Stories: A Novel by Christine Coulson</v>
      </c>
    </row>
    <row r="537" outlineLevel="1">
      <c r="A537" s="30"/>
      <c r="B537" s="59" t="str">
        <f t="shared" si="16"/>
        <v>Middlemarch (Grapevine Press)</v>
      </c>
      <c r="C537" s="32" t="s">
        <v>10</v>
      </c>
      <c r="D537" s="33"/>
      <c r="E537" s="33"/>
      <c r="F537" s="33" t="s">
        <v>51</v>
      </c>
      <c r="G537" s="36"/>
      <c r="H537" s="60" t="s">
        <v>988</v>
      </c>
      <c r="I537" s="36"/>
      <c r="J537" s="36" t="s">
        <v>989</v>
      </c>
      <c r="K537" s="60" t="str">
        <f t="shared" si="17"/>
        <v>Middlemarch (Grapevine Press) by George Eliot</v>
      </c>
    </row>
    <row r="538" outlineLevel="1">
      <c r="A538" s="30"/>
      <c r="B538" s="59" t="str">
        <f t="shared" si="16"/>
        <v>Mike Nichols: A Life</v>
      </c>
      <c r="C538" s="32" t="s">
        <v>10</v>
      </c>
      <c r="D538" s="33"/>
      <c r="E538" s="33"/>
      <c r="F538" s="33" t="s">
        <v>51</v>
      </c>
      <c r="G538" s="36"/>
      <c r="H538" s="60" t="s">
        <v>990</v>
      </c>
      <c r="I538" s="36"/>
      <c r="J538" s="36" t="s">
        <v>991</v>
      </c>
      <c r="K538" s="60" t="str">
        <f t="shared" si="17"/>
        <v>Mike Nichols: A Life by Mark Harris</v>
      </c>
    </row>
    <row r="539" outlineLevel="1">
      <c r="A539" s="30"/>
      <c r="B539" s="59" t="str">
        <f t="shared" si="16"/>
        <v>Mind to Matter: The Astonishing Science of How Your Brain Creates Material Reality</v>
      </c>
      <c r="C539" s="32" t="s">
        <v>22</v>
      </c>
      <c r="D539" s="33"/>
      <c r="E539" s="33"/>
      <c r="F539" s="33" t="s">
        <v>51</v>
      </c>
      <c r="G539" s="36"/>
      <c r="H539" s="60" t="s">
        <v>992</v>
      </c>
      <c r="I539" s="36"/>
      <c r="J539" s="36" t="s">
        <v>993</v>
      </c>
      <c r="K539" s="60" t="str">
        <f t="shared" si="17"/>
        <v>Mind to Matter: The Astonishing Science of How Your Brain Creates Material Reality by Dawson Church, Dr. Joe Dispenza</v>
      </c>
    </row>
    <row r="540" outlineLevel="1">
      <c r="A540" s="30"/>
      <c r="B540" s="59" t="str">
        <f t="shared" si="16"/>
        <v>Mindfulness: A Practical Guide to Awakening</v>
      </c>
      <c r="C540" s="32" t="s">
        <v>22</v>
      </c>
      <c r="D540" s="33"/>
      <c r="E540" s="33"/>
      <c r="F540" s="33" t="s">
        <v>51</v>
      </c>
      <c r="G540" s="36"/>
      <c r="H540" s="60" t="s">
        <v>994</v>
      </c>
      <c r="I540" s="36"/>
      <c r="J540" s="36" t="s">
        <v>995</v>
      </c>
      <c r="K540" s="60" t="str">
        <f t="shared" si="17"/>
        <v>Mindfulness: A Practical Guide to Awakening by Joseph Goldstein</v>
      </c>
    </row>
    <row r="541" outlineLevel="1">
      <c r="A541" s="30"/>
      <c r="B541" s="59" t="str">
        <f t="shared" si="16"/>
        <v>Mindfulness: Peace in the Present Moment, Relief from Stress, Anxiety and Worry for Beginners (Mediation, Finding Peace, Present Movement, Mindfulness for Beginners, Mindfulness Guide, Relaxation)</v>
      </c>
      <c r="C541" s="32" t="s">
        <v>10</v>
      </c>
      <c r="D541" s="33"/>
      <c r="E541" s="33"/>
      <c r="F541" s="33" t="s">
        <v>51</v>
      </c>
      <c r="G541" s="36"/>
      <c r="H541" s="60" t="s">
        <v>996</v>
      </c>
      <c r="I541" s="36"/>
      <c r="J541" s="36" t="s">
        <v>997</v>
      </c>
      <c r="K541" s="60" t="str">
        <f t="shared" si="17"/>
        <v>Mindfulness: Peace in the Present Moment, Relief from Stress, Anxiety and Worry for Beginners (Mediation, Finding Peace, Present Movement, Mindfulness for Beginners, Mindfulness Guide, Relaxation) by Aaron Wolfe</v>
      </c>
    </row>
    <row r="542" outlineLevel="1">
      <c r="A542" s="30"/>
      <c r="B542" s="59" t="str">
        <f t="shared" si="16"/>
        <v>Mission to Paris: A Novel</v>
      </c>
      <c r="C542" s="32" t="s">
        <v>10</v>
      </c>
      <c r="D542" s="33"/>
      <c r="E542" s="33"/>
      <c r="F542" s="33" t="s">
        <v>51</v>
      </c>
      <c r="G542" s="36"/>
      <c r="H542" s="60" t="s">
        <v>998</v>
      </c>
      <c r="I542" s="36"/>
      <c r="J542" s="36" t="s">
        <v>999</v>
      </c>
      <c r="K542" s="60" t="str">
        <f t="shared" si="17"/>
        <v>Mission to Paris: A Novel by Alan Furst</v>
      </c>
    </row>
    <row r="543" outlineLevel="1">
      <c r="A543" s="30"/>
      <c r="B543" s="59" t="str">
        <f t="shared" si="16"/>
        <v>Modern Romance</v>
      </c>
      <c r="C543" s="32" t="s">
        <v>10</v>
      </c>
      <c r="D543" s="33"/>
      <c r="E543" s="33"/>
      <c r="F543" s="33" t="s">
        <v>51</v>
      </c>
      <c r="G543" s="36"/>
      <c r="H543" s="60" t="s">
        <v>1000</v>
      </c>
      <c r="I543" s="36"/>
      <c r="J543" s="36" t="s">
        <v>1001</v>
      </c>
      <c r="K543" s="60" t="str">
        <f t="shared" si="17"/>
        <v>Modern Romance by Aziz Ansari, Eric Klinenberg</v>
      </c>
    </row>
    <row r="544" outlineLevel="1">
      <c r="A544" s="30"/>
      <c r="B544" s="59" t="str">
        <f t="shared" si="16"/>
        <v>Moneyball</v>
      </c>
      <c r="C544" s="32" t="s">
        <v>22</v>
      </c>
      <c r="D544" s="33"/>
      <c r="E544" s="33"/>
      <c r="F544" s="33" t="s">
        <v>51</v>
      </c>
      <c r="G544" s="36"/>
      <c r="H544" s="60" t="s">
        <v>706</v>
      </c>
      <c r="I544" s="36"/>
      <c r="J544" s="36" t="s">
        <v>1002</v>
      </c>
      <c r="K544" s="60" t="str">
        <f t="shared" si="17"/>
        <v>Moneyball by Michael Lewis</v>
      </c>
    </row>
    <row r="545" outlineLevel="1">
      <c r="A545" s="30"/>
      <c r="B545" s="59" t="str">
        <f t="shared" si="16"/>
        <v>Moral Combat: How Sex Divided American Christians and Fractured American Politics</v>
      </c>
      <c r="C545" s="32" t="s">
        <v>10</v>
      </c>
      <c r="D545" s="33"/>
      <c r="E545" s="33"/>
      <c r="F545" s="33" t="s">
        <v>51</v>
      </c>
      <c r="G545" s="36"/>
      <c r="H545" s="60" t="s">
        <v>1003</v>
      </c>
      <c r="I545" s="36"/>
      <c r="J545" s="36" t="s">
        <v>1004</v>
      </c>
      <c r="K545" s="60" t="str">
        <f t="shared" si="17"/>
        <v>Moral Combat: How Sex Divided American Christians and Fractured American Politics by R. Marie Griffith</v>
      </c>
    </row>
    <row r="546" outlineLevel="1">
      <c r="A546" s="30"/>
      <c r="B546" s="59" t="str">
        <f t="shared" si="16"/>
        <v>Moral Origins: The Evolution of Virtue, Altruism, and Shame</v>
      </c>
      <c r="C546" s="32" t="s">
        <v>10</v>
      </c>
      <c r="D546" s="33"/>
      <c r="E546" s="33"/>
      <c r="F546" s="33" t="s">
        <v>51</v>
      </c>
      <c r="G546" s="36"/>
      <c r="H546" s="60" t="s">
        <v>1005</v>
      </c>
      <c r="I546" s="36"/>
      <c r="J546" s="36" t="s">
        <v>1006</v>
      </c>
      <c r="K546" s="60" t="str">
        <f t="shared" si="17"/>
        <v>Moral Origins: The Evolution of Virtue, Altruism, and Shame by Christopher Boehm</v>
      </c>
    </row>
    <row r="547" outlineLevel="1">
      <c r="A547" s="30"/>
      <c r="B547" s="59" t="str">
        <f t="shared" si="16"/>
        <v>More Than I Love My Life: A novel</v>
      </c>
      <c r="C547" s="32" t="s">
        <v>10</v>
      </c>
      <c r="D547" s="33"/>
      <c r="E547" s="33"/>
      <c r="F547" s="33" t="s">
        <v>51</v>
      </c>
      <c r="G547" s="36"/>
      <c r="H547" s="60" t="s">
        <v>1007</v>
      </c>
      <c r="I547" s="36"/>
      <c r="J547" s="36" t="s">
        <v>1008</v>
      </c>
      <c r="K547" s="60" t="str">
        <f t="shared" si="17"/>
        <v>More Than I Love My Life: A novel by David Grossman, Jessica Cohen</v>
      </c>
    </row>
    <row r="548" outlineLevel="1">
      <c r="A548" s="30"/>
      <c r="B548" s="59" t="str">
        <f t="shared" si="16"/>
        <v>Mortals</v>
      </c>
      <c r="C548" s="32" t="s">
        <v>10</v>
      </c>
      <c r="D548" s="33"/>
      <c r="E548" s="33"/>
      <c r="F548" s="33" t="s">
        <v>51</v>
      </c>
      <c r="G548" s="36"/>
      <c r="H548" s="60" t="s">
        <v>1009</v>
      </c>
      <c r="I548" s="36"/>
      <c r="J548" s="36" t="s">
        <v>1010</v>
      </c>
      <c r="K548" s="60" t="str">
        <f t="shared" si="17"/>
        <v>Mortals by Norman Rush</v>
      </c>
    </row>
    <row r="549" outlineLevel="1">
      <c r="A549" s="30"/>
      <c r="B549" s="59" t="str">
        <f t="shared" si="16"/>
        <v>Most Dangerous: Daniel Ellsberg and the Secret History of the Vietnam War (National Book Award Finalist)</v>
      </c>
      <c r="C549" s="32" t="s">
        <v>10</v>
      </c>
      <c r="D549" s="33"/>
      <c r="E549" s="33"/>
      <c r="F549" s="33" t="s">
        <v>51</v>
      </c>
      <c r="G549" s="36"/>
      <c r="H549" s="60" t="s">
        <v>1011</v>
      </c>
      <c r="I549" s="36"/>
      <c r="J549" s="36" t="s">
        <v>1012</v>
      </c>
      <c r="K549" s="60" t="str">
        <f t="shared" si="17"/>
        <v>Most Dangerous: Daniel Ellsberg and the Secret History of the Vietnam War (National Book Award Finalist) by Steve Sheinkin</v>
      </c>
    </row>
    <row r="550" outlineLevel="1">
      <c r="A550" s="30"/>
      <c r="B550" s="59" t="str">
        <f t="shared" si="16"/>
        <v>Mr. Clemens and Mark Twain: A Biography</v>
      </c>
      <c r="C550" s="32" t="s">
        <v>22</v>
      </c>
      <c r="D550" s="33"/>
      <c r="E550" s="33"/>
      <c r="F550" s="33" t="s">
        <v>51</v>
      </c>
      <c r="G550" s="36"/>
      <c r="H550" s="60" t="s">
        <v>1013</v>
      </c>
      <c r="I550" s="36"/>
      <c r="J550" s="36" t="s">
        <v>1014</v>
      </c>
      <c r="K550" s="60" t="str">
        <f t="shared" si="17"/>
        <v>Mr. Clemens and Mark Twain: A Biography by Justin Kaplan</v>
      </c>
    </row>
    <row r="551" outlineLevel="1">
      <c r="A551" s="30"/>
      <c r="B551" s="59" t="str">
        <f t="shared" si="16"/>
        <v>Mr. Putin: Operative in the Kremlin (Geopolitics in the 21st Century)</v>
      </c>
      <c r="C551" s="32" t="s">
        <v>10</v>
      </c>
      <c r="D551" s="33"/>
      <c r="E551" s="33"/>
      <c r="F551" s="33" t="s">
        <v>51</v>
      </c>
      <c r="G551" s="36"/>
      <c r="H551" s="60" t="s">
        <v>1015</v>
      </c>
      <c r="I551" s="36"/>
      <c r="J551" s="36" t="s">
        <v>1016</v>
      </c>
      <c r="K551" s="60" t="str">
        <f t="shared" si="17"/>
        <v>Mr. Putin: Operative in the Kremlin (Geopolitics in the 21st Century) by Fiona Hill</v>
      </c>
    </row>
    <row r="552" outlineLevel="1">
      <c r="A552" s="30"/>
      <c r="B552" s="59" t="str">
        <f t="shared" si="16"/>
        <v>Multipliers: How the Best Leaders Make Everyone Smarter</v>
      </c>
      <c r="C552" s="32" t="s">
        <v>22</v>
      </c>
      <c r="D552" s="33"/>
      <c r="E552" s="33"/>
      <c r="F552" s="33" t="s">
        <v>51</v>
      </c>
      <c r="G552" s="36"/>
      <c r="H552" s="60" t="s">
        <v>1017</v>
      </c>
      <c r="I552" s="36"/>
      <c r="J552" s="36" t="s">
        <v>1018</v>
      </c>
      <c r="K552" s="60" t="str">
        <f t="shared" si="17"/>
        <v>Multipliers: How the Best Leaders Make Everyone Smarter by Liz Wiseman, Greg Mckeown</v>
      </c>
    </row>
    <row r="553" outlineLevel="1">
      <c r="A553" s="30"/>
      <c r="B553" s="59" t="str">
        <f t="shared" si="16"/>
        <v>Musings on Leadership: Life lessons to help you thrive as a leader</v>
      </c>
      <c r="C553" s="32" t="s">
        <v>10</v>
      </c>
      <c r="D553" s="33"/>
      <c r="E553" s="33"/>
      <c r="F553" s="33" t="s">
        <v>51</v>
      </c>
      <c r="G553" s="36"/>
      <c r="H553" s="60" t="s">
        <v>1019</v>
      </c>
      <c r="I553" s="36"/>
      <c r="J553" s="36" t="s">
        <v>1020</v>
      </c>
      <c r="K553" s="60" t="str">
        <f t="shared" si="17"/>
        <v>Musings on Leadership: Life lessons to help you thrive as a leader by Tor Mesoy, Yan Liu</v>
      </c>
    </row>
    <row r="554" outlineLevel="1">
      <c r="A554" s="30"/>
      <c r="B554" s="59" t="str">
        <f t="shared" si="16"/>
        <v>My Brilliant Friend</v>
      </c>
      <c r="C554" s="32" t="s">
        <v>10</v>
      </c>
      <c r="D554" s="33"/>
      <c r="E554" s="33"/>
      <c r="F554" s="33" t="s">
        <v>51</v>
      </c>
      <c r="G554" s="36"/>
      <c r="H554" s="60" t="s">
        <v>1021</v>
      </c>
      <c r="I554" s="36"/>
      <c r="J554" s="36" t="s">
        <v>158</v>
      </c>
      <c r="K554" s="60" t="str">
        <f t="shared" si="17"/>
        <v>My Brilliant Friend by Elena Ferrante, Ann Goldstein</v>
      </c>
    </row>
    <row r="555" outlineLevel="1">
      <c r="A555" s="30"/>
      <c r="B555" s="59" t="str">
        <f t="shared" si="16"/>
        <v>My Friends: A Novel</v>
      </c>
      <c r="C555" s="32" t="s">
        <v>10</v>
      </c>
      <c r="D555" s="33"/>
      <c r="E555" s="33"/>
      <c r="F555" s="33" t="s">
        <v>51</v>
      </c>
      <c r="G555" s="36"/>
      <c r="H555" s="60" t="s">
        <v>136</v>
      </c>
      <c r="I555" s="36"/>
      <c r="J555" s="36" t="s">
        <v>1022</v>
      </c>
      <c r="K555" s="60" t="str">
        <f t="shared" si="17"/>
        <v>My Friends: A Novel by Fredrik Backman</v>
      </c>
    </row>
    <row r="556" outlineLevel="1">
      <c r="A556" s="30"/>
      <c r="B556" s="59" t="str">
        <f t="shared" si="16"/>
        <v>My Friends: A Novel</v>
      </c>
      <c r="C556" s="32" t="s">
        <v>10</v>
      </c>
      <c r="D556" s="33"/>
      <c r="E556" s="33"/>
      <c r="F556" s="33" t="s">
        <v>51</v>
      </c>
      <c r="G556" s="36"/>
      <c r="H556" s="60" t="s">
        <v>1023</v>
      </c>
      <c r="I556" s="36"/>
      <c r="J556" s="36" t="s">
        <v>1022</v>
      </c>
      <c r="K556" s="60" t="str">
        <f t="shared" si="17"/>
        <v>My Friends: A Novel by Hisham Matar</v>
      </c>
    </row>
    <row r="557" outlineLevel="1">
      <c r="A557" s="30"/>
      <c r="B557" s="59" t="str">
        <f t="shared" si="16"/>
        <v>My Promised Land: The Triumph and Tragedy of Israel</v>
      </c>
      <c r="C557" s="32" t="s">
        <v>10</v>
      </c>
      <c r="D557" s="33"/>
      <c r="E557" s="33"/>
      <c r="F557" s="33" t="s">
        <v>51</v>
      </c>
      <c r="G557" s="36"/>
      <c r="H557" s="60" t="s">
        <v>1024</v>
      </c>
      <c r="I557" s="36"/>
      <c r="J557" s="36" t="s">
        <v>1025</v>
      </c>
      <c r="K557" s="60" t="str">
        <f t="shared" si="17"/>
        <v>My Promised Land: The Triumph and Tragedy of Israel by Ari Shavit</v>
      </c>
    </row>
    <row r="558" outlineLevel="1">
      <c r="A558" s="30"/>
      <c r="B558" s="59" t="str">
        <f t="shared" si="16"/>
        <v>My Story as Told by Water</v>
      </c>
      <c r="C558" s="32" t="s">
        <v>22</v>
      </c>
      <c r="D558" s="33"/>
      <c r="E558" s="33"/>
      <c r="F558" s="33" t="s">
        <v>51</v>
      </c>
      <c r="G558" s="36"/>
      <c r="H558" s="60" t="s">
        <v>1026</v>
      </c>
      <c r="I558" s="36"/>
      <c r="J558" s="36" t="s">
        <v>1027</v>
      </c>
      <c r="K558" s="60" t="str">
        <f t="shared" si="17"/>
        <v>My Story as Told by Water by David James Duncan</v>
      </c>
    </row>
    <row r="559" outlineLevel="1">
      <c r="A559" s="30"/>
      <c r="B559" s="59" t="str">
        <f t="shared" si="16"/>
        <v>Naomi's Gift (A Point in Time collection)</v>
      </c>
      <c r="C559" s="32" t="s">
        <v>10</v>
      </c>
      <c r="D559" s="33"/>
      <c r="E559" s="33"/>
      <c r="F559" s="33" t="s">
        <v>51</v>
      </c>
      <c r="G559" s="36"/>
      <c r="H559" s="60" t="s">
        <v>1028</v>
      </c>
      <c r="I559" s="36"/>
      <c r="J559" s="36" t="s">
        <v>1029</v>
      </c>
      <c r="K559" s="60" t="str">
        <f t="shared" si="17"/>
        <v>Naomi's Gift (A Point in Time collection) by Martha Hall Kelly</v>
      </c>
    </row>
    <row r="560" outlineLevel="1">
      <c r="A560" s="30"/>
      <c r="B560" s="59" t="str">
        <f t="shared" si="16"/>
        <v>Nasty, Brutish, and Short: Adventures in Philosophy with My Kids</v>
      </c>
      <c r="C560" s="32" t="s">
        <v>10</v>
      </c>
      <c r="D560" s="33"/>
      <c r="E560" s="33"/>
      <c r="F560" s="33" t="s">
        <v>51</v>
      </c>
      <c r="G560" s="36"/>
      <c r="H560" s="60" t="s">
        <v>1030</v>
      </c>
      <c r="I560" s="36"/>
      <c r="J560" s="36" t="s">
        <v>1031</v>
      </c>
      <c r="K560" s="60" t="str">
        <f t="shared" si="17"/>
        <v>Nasty, Brutish, and Short: Adventures in Philosophy with My Kids by Scott Hershovitz</v>
      </c>
    </row>
    <row r="561" outlineLevel="1">
      <c r="A561" s="30"/>
      <c r="B561" s="59" t="str">
        <f t="shared" si="16"/>
        <v>Nasty, Brutish, and Short: Adventures in Philosophy with My Kids</v>
      </c>
      <c r="C561" s="32" t="s">
        <v>22</v>
      </c>
      <c r="D561" s="33"/>
      <c r="E561" s="33"/>
      <c r="F561" s="33" t="s">
        <v>51</v>
      </c>
      <c r="G561" s="36"/>
      <c r="H561" s="60" t="s">
        <v>1030</v>
      </c>
      <c r="I561" s="36"/>
      <c r="J561" s="36" t="s">
        <v>1031</v>
      </c>
      <c r="K561" s="60" t="str">
        <f t="shared" si="17"/>
        <v>Nasty, Brutish, and Short: Adventures in Philosophy with My Kids by Scott Hershovitz</v>
      </c>
    </row>
    <row r="562" outlineLevel="1">
      <c r="A562" s="30"/>
      <c r="B562" s="59" t="str">
        <f t="shared" si="16"/>
        <v>Neuromancer</v>
      </c>
      <c r="C562" s="32" t="s">
        <v>10</v>
      </c>
      <c r="D562" s="33"/>
      <c r="E562" s="33"/>
      <c r="F562" s="33" t="s">
        <v>51</v>
      </c>
      <c r="G562" s="36" t="s">
        <v>1032</v>
      </c>
      <c r="H562" s="60" t="s">
        <v>357</v>
      </c>
      <c r="I562" s="36"/>
      <c r="J562" s="36" t="s">
        <v>1033</v>
      </c>
      <c r="K562" s="60" t="str">
        <f t="shared" si="17"/>
        <v>Neuromancer by William Gibson</v>
      </c>
    </row>
    <row r="563" outlineLevel="1">
      <c r="A563" s="30"/>
      <c r="B563" s="59" t="str">
        <f t="shared" si="16"/>
        <v>Never Eat Alone, Expanded and Updated: And Other Secrets to Success, One Relationship at a Time</v>
      </c>
      <c r="C563" s="32" t="s">
        <v>22</v>
      </c>
      <c r="D563" s="33"/>
      <c r="E563" s="33"/>
      <c r="F563" s="33" t="s">
        <v>51</v>
      </c>
      <c r="G563" s="36"/>
      <c r="H563" s="60" t="s">
        <v>1034</v>
      </c>
      <c r="I563" s="36"/>
      <c r="J563" s="36" t="s">
        <v>1035</v>
      </c>
      <c r="K563" s="60" t="str">
        <f t="shared" si="17"/>
        <v>Never Eat Alone, Expanded and Updated: And Other Secrets to Success, One Relationship at a Time by Keith Ferrazzi, Tahl Raz</v>
      </c>
    </row>
    <row r="564" outlineLevel="1">
      <c r="A564" s="30"/>
      <c r="B564" s="59" t="str">
        <f t="shared" si="16"/>
        <v>Never Split the Difference: Negotiating as if Your Life Depended on It</v>
      </c>
      <c r="C564" s="32" t="s">
        <v>22</v>
      </c>
      <c r="D564" s="33"/>
      <c r="E564" s="33"/>
      <c r="F564" s="33" t="s">
        <v>51</v>
      </c>
      <c r="G564" s="36"/>
      <c r="H564" s="60" t="s">
        <v>1036</v>
      </c>
      <c r="I564" s="36"/>
      <c r="J564" s="36" t="s">
        <v>1037</v>
      </c>
      <c r="K564" s="60" t="str">
        <f t="shared" si="17"/>
        <v>Never Split the Difference: Negotiating as if Your Life Depended on It by Michael Kramer, Chris Voss</v>
      </c>
    </row>
    <row r="565" outlineLevel="1">
      <c r="A565" s="30"/>
      <c r="B565" s="59" t="str">
        <f t="shared" si="16"/>
        <v>Never Split the Difference: Negotiating As If Your Life Depended On It―Unlock Your Persuasion Potential in Professional and Personal Life</v>
      </c>
      <c r="C565" s="32" t="s">
        <v>10</v>
      </c>
      <c r="D565" s="33"/>
      <c r="E565" s="33"/>
      <c r="F565" s="33" t="s">
        <v>51</v>
      </c>
      <c r="G565" s="36"/>
      <c r="H565" s="60" t="s">
        <v>1038</v>
      </c>
      <c r="I565" s="36"/>
      <c r="J565" s="36" t="s">
        <v>1039</v>
      </c>
      <c r="K565" s="60" t="str">
        <f t="shared" si="17"/>
        <v>Never Split the Difference: Negotiating As If Your Life Depended On It―Unlock Your Persuasion Potential in Professional and Personal Life by Chris Voss, Tahl Raz</v>
      </c>
    </row>
    <row r="566" outlineLevel="1">
      <c r="A566" s="30"/>
      <c r="B566" s="59" t="str">
        <f t="shared" si="16"/>
        <v>Never: A Novel</v>
      </c>
      <c r="C566" s="32" t="s">
        <v>10</v>
      </c>
      <c r="D566" s="33"/>
      <c r="E566" s="33"/>
      <c r="F566" s="33" t="s">
        <v>51</v>
      </c>
      <c r="G566" s="36"/>
      <c r="H566" s="60" t="s">
        <v>1040</v>
      </c>
      <c r="I566" s="36"/>
      <c r="J566" s="36" t="s">
        <v>1041</v>
      </c>
      <c r="K566" s="60" t="str">
        <f t="shared" si="17"/>
        <v>Never: A Novel by Ken Follett</v>
      </c>
    </row>
    <row r="567" outlineLevel="1">
      <c r="A567" s="30"/>
      <c r="B567" s="59" t="str">
        <f t="shared" si="16"/>
        <v>News of the World</v>
      </c>
      <c r="C567" s="32" t="s">
        <v>10</v>
      </c>
      <c r="D567" s="33"/>
      <c r="E567" s="33"/>
      <c r="F567" s="33" t="s">
        <v>51</v>
      </c>
      <c r="G567" s="36"/>
      <c r="H567" s="60" t="s">
        <v>1042</v>
      </c>
      <c r="I567" s="36"/>
      <c r="J567" s="36" t="s">
        <v>1043</v>
      </c>
      <c r="K567" s="60" t="str">
        <f t="shared" si="17"/>
        <v>News of the World by Paulette Jiles</v>
      </c>
    </row>
    <row r="568" outlineLevel="1">
      <c r="A568" s="30"/>
      <c r="B568" s="59" t="str">
        <f t="shared" si="16"/>
        <v>NFL Confidential: True Confessions from the Gutter of Football</v>
      </c>
      <c r="C568" s="32" t="s">
        <v>22</v>
      </c>
      <c r="D568" s="33"/>
      <c r="E568" s="33"/>
      <c r="F568" s="33" t="s">
        <v>51</v>
      </c>
      <c r="G568" s="36"/>
      <c r="H568" s="60" t="s">
        <v>1044</v>
      </c>
      <c r="I568" s="36"/>
      <c r="J568" s="36" t="s">
        <v>1045</v>
      </c>
      <c r="K568" s="60" t="str">
        <f t="shared" si="17"/>
        <v>NFL Confidential: True Confessions from the Gutter of Football by Johnny Anonymous</v>
      </c>
    </row>
    <row r="569" outlineLevel="1">
      <c r="A569" s="30"/>
      <c r="B569" s="59" t="str">
        <f t="shared" si="16"/>
        <v>Night</v>
      </c>
      <c r="C569" s="32" t="s">
        <v>22</v>
      </c>
      <c r="D569" s="33"/>
      <c r="E569" s="33"/>
      <c r="F569" s="33" t="s">
        <v>51</v>
      </c>
      <c r="G569" s="36"/>
      <c r="H569" s="60" t="s">
        <v>1046</v>
      </c>
      <c r="I569" s="36"/>
      <c r="J569" s="36" t="s">
        <v>1047</v>
      </c>
      <c r="K569" s="60" t="str">
        <f t="shared" si="17"/>
        <v>Night by Elie Wiesel, Marion Wiesel</v>
      </c>
    </row>
    <row r="570" outlineLevel="1">
      <c r="A570" s="30"/>
      <c r="B570" s="59" t="str">
        <f t="shared" si="16"/>
        <v>Nine Black Robes: Inside the Supreme Court's Drive to the Right and Its Historic Consequences</v>
      </c>
      <c r="C570" s="32" t="s">
        <v>22</v>
      </c>
      <c r="D570" s="33"/>
      <c r="E570" s="33"/>
      <c r="F570" s="33" t="s">
        <v>51</v>
      </c>
      <c r="G570" s="36"/>
      <c r="H570" s="60" t="s">
        <v>380</v>
      </c>
      <c r="I570" s="36"/>
      <c r="J570" s="36" t="s">
        <v>1048</v>
      </c>
      <c r="K570" s="60" t="str">
        <f t="shared" si="17"/>
        <v>Nine Black Robes: Inside the Supreme Court's Drive to the Right and Its Historic Consequences by Joan Biskupic</v>
      </c>
    </row>
    <row r="571" outlineLevel="1">
      <c r="A571" s="30"/>
      <c r="B571" s="59" t="str">
        <f t="shared" si="16"/>
        <v>No One Will Miss Her: A Novel</v>
      </c>
      <c r="C571" s="32" t="s">
        <v>10</v>
      </c>
      <c r="D571" s="33"/>
      <c r="E571" s="33"/>
      <c r="F571" s="33" t="s">
        <v>51</v>
      </c>
      <c r="G571" s="36"/>
      <c r="H571" s="60" t="s">
        <v>1049</v>
      </c>
      <c r="I571" s="36"/>
      <c r="J571" s="36" t="s">
        <v>1050</v>
      </c>
      <c r="K571" s="60" t="str">
        <f t="shared" si="17"/>
        <v>No One Will Miss Her: A Novel by Kat Rosenfield</v>
      </c>
    </row>
    <row r="572" outlineLevel="1">
      <c r="A572" s="30"/>
      <c r="B572" s="59" t="str">
        <f t="shared" si="16"/>
        <v>Noise: A Flaw in Human Judgment</v>
      </c>
      <c r="C572" s="32" t="s">
        <v>10</v>
      </c>
      <c r="D572" s="33"/>
      <c r="E572" s="33"/>
      <c r="F572" s="33" t="s">
        <v>51</v>
      </c>
      <c r="G572" s="36"/>
      <c r="H572" s="60" t="s">
        <v>1051</v>
      </c>
      <c r="I572" s="36"/>
      <c r="J572" s="36" t="s">
        <v>1052</v>
      </c>
      <c r="K572" s="60" t="str">
        <f t="shared" si="17"/>
        <v>Noise: A Flaw in Human Judgment by Daniel Kahneman, Olivier Sibony</v>
      </c>
    </row>
    <row r="573" outlineLevel="1">
      <c r="A573" s="30"/>
      <c r="B573" s="59" t="str">
        <f t="shared" si="16"/>
        <v>Nonviolent Communication: A Language of Life: Life-Changing Tools for Healthy Relationships (Nonviolent Communication Guides)</v>
      </c>
      <c r="C573" s="32" t="s">
        <v>10</v>
      </c>
      <c r="D573" s="33"/>
      <c r="E573" s="33"/>
      <c r="F573" s="33" t="s">
        <v>51</v>
      </c>
      <c r="G573" s="36"/>
      <c r="H573" s="60" t="s">
        <v>1053</v>
      </c>
      <c r="I573" s="36"/>
      <c r="J573" s="36" t="s">
        <v>1054</v>
      </c>
      <c r="K573" s="60" t="str">
        <f t="shared" si="17"/>
        <v>Nonviolent Communication: A Language of Life: Life-Changing Tools for Healthy Relationships (Nonviolent Communication Guides) by Marshall B. Rosenberg PhD, Deepak Chopra</v>
      </c>
    </row>
    <row r="574" outlineLevel="1">
      <c r="A574" s="30"/>
      <c r="B574" s="59" t="str">
        <f t="shared" si="16"/>
        <v>Normal People: A Novel</v>
      </c>
      <c r="C574" s="32" t="s">
        <v>10</v>
      </c>
      <c r="D574" s="33"/>
      <c r="E574" s="33"/>
      <c r="F574" s="33" t="s">
        <v>51</v>
      </c>
      <c r="G574" s="36"/>
      <c r="H574" s="60" t="s">
        <v>1055</v>
      </c>
      <c r="I574" s="36"/>
      <c r="J574" s="36" t="s">
        <v>1056</v>
      </c>
      <c r="K574" s="60" t="str">
        <f t="shared" si="17"/>
        <v>Normal People: A Novel by Sally Rooney</v>
      </c>
    </row>
    <row r="575" outlineLevel="1">
      <c r="A575" s="30"/>
      <c r="B575" s="59" t="str">
        <f t="shared" si="16"/>
        <v>North Woods: A Novel</v>
      </c>
      <c r="C575" s="32" t="s">
        <v>10</v>
      </c>
      <c r="D575" s="33"/>
      <c r="E575" s="33"/>
      <c r="F575" s="33" t="s">
        <v>51</v>
      </c>
      <c r="G575" s="36"/>
      <c r="H575" s="60" t="s">
        <v>1057</v>
      </c>
      <c r="I575" s="36"/>
      <c r="J575" s="36" t="s">
        <v>1058</v>
      </c>
      <c r="K575" s="60" t="str">
        <f t="shared" si="17"/>
        <v>North Woods: A Novel by Daniel Mason</v>
      </c>
    </row>
    <row r="576" outlineLevel="1">
      <c r="A576" s="30"/>
      <c r="B576" s="59" t="str">
        <f t="shared" si="16"/>
        <v>NOS4A2: A Novel</v>
      </c>
      <c r="C576" s="32" t="s">
        <v>10</v>
      </c>
      <c r="D576" s="33"/>
      <c r="E576" s="33"/>
      <c r="F576" s="33" t="s">
        <v>51</v>
      </c>
      <c r="G576" s="36"/>
      <c r="H576" s="60" t="s">
        <v>283</v>
      </c>
      <c r="I576" s="36"/>
      <c r="J576" s="36" t="s">
        <v>1059</v>
      </c>
      <c r="K576" s="60" t="str">
        <f t="shared" si="17"/>
        <v>NOS4A2: A Novel by Joe Hill</v>
      </c>
    </row>
    <row r="577" outlineLevel="1">
      <c r="A577" s="30"/>
      <c r="B577" s="59" t="str">
        <f t="shared" si="16"/>
        <v>Not Dead Yet</v>
      </c>
      <c r="C577" s="32" t="s">
        <v>10</v>
      </c>
      <c r="D577" s="33"/>
      <c r="E577" s="33"/>
      <c r="F577" s="33" t="s">
        <v>51</v>
      </c>
      <c r="G577" s="36" t="s">
        <v>1060</v>
      </c>
      <c r="H577" s="60" t="s">
        <v>1061</v>
      </c>
      <c r="I577" s="36"/>
      <c r="J577" s="36" t="s">
        <v>1062</v>
      </c>
      <c r="K577" s="60" t="str">
        <f t="shared" si="17"/>
        <v>Not Dead Yet by Peter James</v>
      </c>
    </row>
    <row r="578" outlineLevel="1">
      <c r="A578" s="30"/>
      <c r="B578" s="59" t="str">
        <f t="shared" si="16"/>
        <v>Notes on Grief</v>
      </c>
      <c r="C578" s="32" t="s">
        <v>10</v>
      </c>
      <c r="D578" s="33"/>
      <c r="E578" s="33"/>
      <c r="F578" s="33" t="s">
        <v>51</v>
      </c>
      <c r="G578" s="36"/>
      <c r="H578" s="60" t="s">
        <v>384</v>
      </c>
      <c r="I578" s="36"/>
      <c r="J578" s="36" t="s">
        <v>1063</v>
      </c>
      <c r="K578" s="60" t="str">
        <f t="shared" si="17"/>
        <v>Notes on Grief by Chimamanda Ngozi Adichie</v>
      </c>
    </row>
    <row r="579" outlineLevel="1">
      <c r="A579" s="30"/>
      <c r="B579" s="59" t="str">
        <f t="shared" si="16"/>
        <v>Ohio</v>
      </c>
      <c r="C579" s="32" t="s">
        <v>10</v>
      </c>
      <c r="D579" s="33"/>
      <c r="E579" s="33"/>
      <c r="F579" s="33" t="s">
        <v>51</v>
      </c>
      <c r="G579" s="36"/>
      <c r="H579" s="60" t="s">
        <v>1064</v>
      </c>
      <c r="I579" s="36"/>
      <c r="J579" s="36" t="s">
        <v>1065</v>
      </c>
      <c r="K579" s="60" t="str">
        <f t="shared" si="17"/>
        <v>Ohio by Stephen Markley</v>
      </c>
    </row>
    <row r="580" outlineLevel="1">
      <c r="A580" s="30"/>
      <c r="B580" s="59" t="str">
        <f t="shared" si="16"/>
        <v>On the Edge: The Art of Risking Everything</v>
      </c>
      <c r="C580" s="32" t="s">
        <v>22</v>
      </c>
      <c r="D580" s="33"/>
      <c r="E580" s="33"/>
      <c r="F580" s="33" t="s">
        <v>51</v>
      </c>
      <c r="G580" s="36"/>
      <c r="H580" s="60" t="s">
        <v>1066</v>
      </c>
      <c r="I580" s="36"/>
      <c r="J580" s="36" t="s">
        <v>1067</v>
      </c>
      <c r="K580" s="60" t="str">
        <f t="shared" si="17"/>
        <v>On the Edge: The Art of Risking Everything by Nate Silver</v>
      </c>
    </row>
    <row r="581" outlineLevel="1">
      <c r="A581" s="30"/>
      <c r="B581" s="59" t="str">
        <f t="shared" si="16"/>
        <v>On Tyranny: Twenty Lessons from the Twentieth Century</v>
      </c>
      <c r="C581" s="32" t="s">
        <v>22</v>
      </c>
      <c r="D581" s="33"/>
      <c r="E581" s="33"/>
      <c r="F581" s="33" t="s">
        <v>51</v>
      </c>
      <c r="G581" s="36"/>
      <c r="H581" s="60" t="s">
        <v>1068</v>
      </c>
      <c r="I581" s="36"/>
      <c r="J581" s="36" t="s">
        <v>1069</v>
      </c>
      <c r="K581" s="60" t="str">
        <f t="shared" si="17"/>
        <v>On Tyranny: Twenty Lessons from the Twentieth Century by Timothy Snyder</v>
      </c>
    </row>
    <row r="582" outlineLevel="1">
      <c r="A582" s="30"/>
      <c r="B582" s="59" t="str">
        <f t="shared" si="16"/>
        <v>On Writing Well: The Essential Guide to Mastering Nonfiction Writing and Effective Communication</v>
      </c>
      <c r="C582" s="32" t="s">
        <v>10</v>
      </c>
      <c r="D582" s="33"/>
      <c r="E582" s="33"/>
      <c r="F582" s="33" t="s">
        <v>51</v>
      </c>
      <c r="G582" s="36"/>
      <c r="H582" s="60" t="s">
        <v>1070</v>
      </c>
      <c r="I582" s="36"/>
      <c r="J582" s="36" t="s">
        <v>1071</v>
      </c>
      <c r="K582" s="60" t="str">
        <f t="shared" si="17"/>
        <v>On Writing Well: The Essential Guide to Mastering Nonfiction Writing and Effective Communication by William Zinsser</v>
      </c>
    </row>
    <row r="583" outlineLevel="1">
      <c r="A583" s="30"/>
      <c r="B583" s="59" t="str">
        <f t="shared" si="16"/>
        <v>One Long River of Song: Notes on Wonder</v>
      </c>
      <c r="C583" s="32" t="s">
        <v>10</v>
      </c>
      <c r="D583" s="33"/>
      <c r="E583" s="33"/>
      <c r="F583" s="33" t="s">
        <v>51</v>
      </c>
      <c r="G583" s="36"/>
      <c r="H583" s="60" t="s">
        <v>1072</v>
      </c>
      <c r="I583" s="36"/>
      <c r="J583" s="36" t="s">
        <v>1073</v>
      </c>
      <c r="K583" s="60" t="str">
        <f t="shared" si="17"/>
        <v>One Long River of Song: Notes on Wonder by Brian Doyle, David James Duncan</v>
      </c>
    </row>
    <row r="584" outlineLevel="1">
      <c r="A584" s="30"/>
      <c r="B584" s="59" t="str">
        <f t="shared" si="16"/>
        <v>One Man's Meat</v>
      </c>
      <c r="C584" s="32" t="s">
        <v>22</v>
      </c>
      <c r="D584" s="33"/>
      <c r="E584" s="33"/>
      <c r="F584" s="33" t="s">
        <v>51</v>
      </c>
      <c r="G584" s="36"/>
      <c r="H584" s="60" t="s">
        <v>1074</v>
      </c>
      <c r="I584" s="36"/>
      <c r="J584" s="36" t="s">
        <v>1075</v>
      </c>
      <c r="K584" s="60" t="str">
        <f t="shared" si="17"/>
        <v>One Man's Meat by Malcolm Hillgartner, E. B. White</v>
      </c>
    </row>
    <row r="585" outlineLevel="1">
      <c r="A585" s="30"/>
      <c r="B585" s="59" t="str">
        <f t="shared" si="16"/>
        <v>One More Thing: Stories and Other Stories</v>
      </c>
      <c r="C585" s="32" t="s">
        <v>10</v>
      </c>
      <c r="D585" s="33"/>
      <c r="E585" s="33"/>
      <c r="F585" s="33" t="s">
        <v>51</v>
      </c>
      <c r="G585" s="36"/>
      <c r="H585" s="60" t="s">
        <v>1076</v>
      </c>
      <c r="I585" s="36"/>
      <c r="J585" s="36" t="s">
        <v>1077</v>
      </c>
      <c r="K585" s="60" t="str">
        <f t="shared" si="17"/>
        <v>One More Thing: Stories and Other Stories by B. J. Novak</v>
      </c>
    </row>
    <row r="586" outlineLevel="1">
      <c r="A586" s="30"/>
      <c r="B586" s="59" t="str">
        <f t="shared" si="16"/>
        <v>One Summer: America, 1927</v>
      </c>
      <c r="C586" s="32" t="s">
        <v>10</v>
      </c>
      <c r="D586" s="33"/>
      <c r="E586" s="33"/>
      <c r="F586" s="33" t="s">
        <v>51</v>
      </c>
      <c r="G586" s="36"/>
      <c r="H586" s="60" t="s">
        <v>325</v>
      </c>
      <c r="I586" s="36"/>
      <c r="J586" s="36" t="s">
        <v>1078</v>
      </c>
      <c r="K586" s="60" t="str">
        <f t="shared" si="17"/>
        <v>One Summer: America, 1927 by Bill Bryson</v>
      </c>
    </row>
    <row r="587" outlineLevel="1">
      <c r="A587" s="30"/>
      <c r="B587" s="59" t="str">
        <f t="shared" si="16"/>
        <v>Ordinary Grace</v>
      </c>
      <c r="C587" s="32" t="s">
        <v>10</v>
      </c>
      <c r="D587" s="33"/>
      <c r="E587" s="33"/>
      <c r="F587" s="33" t="s">
        <v>51</v>
      </c>
      <c r="G587" s="36"/>
      <c r="H587" s="60" t="s">
        <v>849</v>
      </c>
      <c r="I587" s="36"/>
      <c r="J587" s="36" t="s">
        <v>1079</v>
      </c>
      <c r="K587" s="60" t="str">
        <f t="shared" si="17"/>
        <v>Ordinary Grace by William Kent Krueger</v>
      </c>
    </row>
    <row r="588" outlineLevel="1">
      <c r="A588" s="30"/>
      <c r="B588" s="59" t="str">
        <f t="shared" si="16"/>
        <v>Origin Story: A Big History of Everything</v>
      </c>
      <c r="C588" s="32" t="s">
        <v>22</v>
      </c>
      <c r="D588" s="33"/>
      <c r="E588" s="33"/>
      <c r="F588" s="33" t="s">
        <v>51</v>
      </c>
      <c r="G588" s="36"/>
      <c r="H588" s="60" t="s">
        <v>1080</v>
      </c>
      <c r="I588" s="36"/>
      <c r="J588" s="36" t="s">
        <v>1081</v>
      </c>
      <c r="K588" s="60" t="str">
        <f t="shared" si="17"/>
        <v>Origin Story: A Big History of Everything by David Christian</v>
      </c>
    </row>
    <row r="589" outlineLevel="1">
      <c r="A589" s="30"/>
      <c r="B589" s="59" t="str">
        <f t="shared" si="16"/>
        <v>Originals: How Non-Conformists Move the World</v>
      </c>
      <c r="C589" s="32" t="s">
        <v>22</v>
      </c>
      <c r="D589" s="33"/>
      <c r="E589" s="33"/>
      <c r="F589" s="33" t="s">
        <v>51</v>
      </c>
      <c r="G589" s="36"/>
      <c r="H589" s="60" t="s">
        <v>1082</v>
      </c>
      <c r="I589" s="36"/>
      <c r="J589" s="36" t="s">
        <v>1083</v>
      </c>
      <c r="K589" s="60" t="str">
        <f t="shared" si="17"/>
        <v>Originals: How Non-Conformists Move the World by Adam Grant, Sheryl Sandberg</v>
      </c>
    </row>
    <row r="590" outlineLevel="1">
      <c r="A590" s="30"/>
      <c r="B590" s="59" t="str">
        <f t="shared" si="16"/>
        <v>Our Man: Richard Holbrooke and the End of the American Century</v>
      </c>
      <c r="C590" s="32" t="s">
        <v>10</v>
      </c>
      <c r="D590" s="33"/>
      <c r="E590" s="33"/>
      <c r="F590" s="33" t="s">
        <v>51</v>
      </c>
      <c r="G590" s="36"/>
      <c r="H590" s="60" t="s">
        <v>1084</v>
      </c>
      <c r="I590" s="36"/>
      <c r="J590" s="36" t="s">
        <v>1085</v>
      </c>
      <c r="K590" s="60" t="str">
        <f t="shared" si="17"/>
        <v>Our Man: Richard Holbrooke and the End of the American Century by George Packer</v>
      </c>
    </row>
    <row r="591" outlineLevel="1">
      <c r="A591" s="30"/>
      <c r="B591" s="59" t="str">
        <f t="shared" si="16"/>
        <v>Our Mutual Friend</v>
      </c>
      <c r="C591" s="32" t="s">
        <v>10</v>
      </c>
      <c r="D591" s="33"/>
      <c r="E591" s="33"/>
      <c r="F591" s="33" t="s">
        <v>51</v>
      </c>
      <c r="G591" s="36"/>
      <c r="H591" s="60" t="s">
        <v>1086</v>
      </c>
      <c r="I591" s="36"/>
      <c r="J591" s="36" t="s">
        <v>1087</v>
      </c>
      <c r="K591" s="60" t="str">
        <f t="shared" si="17"/>
        <v>Our Mutual Friend by Charles Dickens, Adrian Poole</v>
      </c>
    </row>
    <row r="592" outlineLevel="1">
      <c r="A592" s="30"/>
      <c r="B592" s="59" t="str">
        <f t="shared" si="16"/>
        <v>Outlive: The Science and Art of Longevity</v>
      </c>
      <c r="C592" s="32" t="s">
        <v>22</v>
      </c>
      <c r="D592" s="33"/>
      <c r="E592" s="33"/>
      <c r="F592" s="33" t="s">
        <v>51</v>
      </c>
      <c r="G592" s="36"/>
      <c r="H592" s="60" t="s">
        <v>1088</v>
      </c>
      <c r="I592" s="36"/>
      <c r="J592" s="36" t="s">
        <v>1089</v>
      </c>
      <c r="K592" s="60" t="str">
        <f t="shared" si="17"/>
        <v>Outlive: The Science and Art of Longevity by Peter Attia MD, Bill Gifford</v>
      </c>
    </row>
    <row r="593" outlineLevel="1">
      <c r="A593" s="30"/>
      <c r="B593" s="59" t="str">
        <f t="shared" si="16"/>
        <v>Outside Looking In: A Provocative Novel of Timothy Leary's Harvard LSD Experiments and Sixties Drug Culture</v>
      </c>
      <c r="C593" s="32" t="s">
        <v>10</v>
      </c>
      <c r="D593" s="33"/>
      <c r="E593" s="33"/>
      <c r="F593" s="33" t="s">
        <v>51</v>
      </c>
      <c r="G593" s="36"/>
      <c r="H593" s="60" t="s">
        <v>1090</v>
      </c>
      <c r="I593" s="36"/>
      <c r="J593" s="36" t="s">
        <v>1091</v>
      </c>
      <c r="K593" s="60" t="str">
        <f t="shared" si="17"/>
        <v>Outside Looking In: A Provocative Novel of Timothy Leary's Harvard LSD Experiments and Sixties Drug Culture by T.C. Boyle</v>
      </c>
    </row>
    <row r="594" outlineLevel="1">
      <c r="A594" s="30"/>
      <c r="B594" s="59" t="str">
        <f t="shared" si="16"/>
        <v>Own Your Greatness: Overcome Impostor Syndrome, Beat Self-Doubt, and Succeed in Life</v>
      </c>
      <c r="C594" s="32" t="s">
        <v>22</v>
      </c>
      <c r="D594" s="33"/>
      <c r="E594" s="33"/>
      <c r="F594" s="33" t="s">
        <v>51</v>
      </c>
      <c r="G594" s="36"/>
      <c r="H594" s="60" t="s">
        <v>1092</v>
      </c>
      <c r="I594" s="36"/>
      <c r="J594" s="36" t="s">
        <v>1093</v>
      </c>
      <c r="K594" s="60" t="str">
        <f t="shared" si="17"/>
        <v>Own Your Greatness: Overcome Impostor Syndrome, Beat Self-Doubt, and Succeed in Life by Dr. Lisa Orbé-Austin, Dr. Richard Orbé-Austin</v>
      </c>
    </row>
    <row r="595" outlineLevel="1">
      <c r="A595" s="30"/>
      <c r="B595" s="59" t="str">
        <f t="shared" si="16"/>
        <v>Peak Mind: Find Your Focus, Own Your Attention, Invest 12 Minutes a Day</v>
      </c>
      <c r="C595" s="32" t="s">
        <v>22</v>
      </c>
      <c r="D595" s="33"/>
      <c r="E595" s="33"/>
      <c r="F595" s="33" t="s">
        <v>51</v>
      </c>
      <c r="G595" s="36"/>
      <c r="H595" s="60" t="s">
        <v>1094</v>
      </c>
      <c r="I595" s="36"/>
      <c r="J595" s="36" t="s">
        <v>1095</v>
      </c>
      <c r="K595" s="60" t="str">
        <f t="shared" si="17"/>
        <v>Peak Mind: Find Your Focus, Own Your Attention, Invest 12 Minutes a Day by Xe Sands, Amishi P. Jha</v>
      </c>
    </row>
    <row r="596" outlineLevel="1">
      <c r="A596" s="30"/>
      <c r="B596" s="59" t="str">
        <f t="shared" si="16"/>
        <v>Pedagogy of the Oppressed, 30th Anniversary Edition</v>
      </c>
      <c r="C596" s="32" t="s">
        <v>10</v>
      </c>
      <c r="D596" s="33"/>
      <c r="E596" s="33"/>
      <c r="F596" s="33" t="s">
        <v>51</v>
      </c>
      <c r="G596" s="36"/>
      <c r="H596" s="60" t="s">
        <v>1096</v>
      </c>
      <c r="I596" s="36"/>
      <c r="J596" s="36" t="s">
        <v>1097</v>
      </c>
      <c r="K596" s="60" t="str">
        <f t="shared" si="17"/>
        <v>Pedagogy of the Oppressed, 30th Anniversary Edition by Paulo Freire, Myra Bergman Ramos</v>
      </c>
    </row>
    <row r="597" outlineLevel="1">
      <c r="A597" s="30"/>
      <c r="B597" s="59" t="str">
        <f t="shared" si="16"/>
        <v>Perilous Times: Free Speech in Wartime: From the Sedition Act of 1798 to the War on Terrorism</v>
      </c>
      <c r="C597" s="32" t="s">
        <v>10</v>
      </c>
      <c r="D597" s="33"/>
      <c r="E597" s="33"/>
      <c r="F597" s="33" t="s">
        <v>51</v>
      </c>
      <c r="G597" s="36"/>
      <c r="H597" s="60" t="s">
        <v>1098</v>
      </c>
      <c r="I597" s="36"/>
      <c r="J597" s="36" t="s">
        <v>1099</v>
      </c>
      <c r="K597" s="60" t="str">
        <f t="shared" si="17"/>
        <v>Perilous Times: Free Speech in Wartime: From the Sedition Act of 1798 to the War on Terrorism by Geoffrey R. Stone</v>
      </c>
    </row>
    <row r="598" outlineLevel="1">
      <c r="A598" s="30"/>
      <c r="B598" s="59" t="str">
        <f t="shared" si="16"/>
        <v>Physics of the Future: How Science Will Shape Human Destiny and Our Daily Lives</v>
      </c>
      <c r="C598" s="32" t="s">
        <v>10</v>
      </c>
      <c r="D598" s="33"/>
      <c r="E598" s="33"/>
      <c r="F598" s="33" t="s">
        <v>51</v>
      </c>
      <c r="G598" s="36"/>
      <c r="H598" s="60" t="s">
        <v>1100</v>
      </c>
      <c r="I598" s="36"/>
      <c r="J598" s="36" t="s">
        <v>1101</v>
      </c>
      <c r="K598" s="60" t="str">
        <f t="shared" si="17"/>
        <v>Physics of the Future: How Science Will Shape Human Destiny and Our Daily Lives by the Year 2100</v>
      </c>
    </row>
    <row r="599" outlineLevel="1">
      <c r="A599" s="30"/>
      <c r="B599" s="59" t="str">
        <f t="shared" si="16"/>
        <v>Plato at the Googleplex: Why Philosophy Won't Go Away</v>
      </c>
      <c r="C599" s="32" t="s">
        <v>22</v>
      </c>
      <c r="D599" s="33"/>
      <c r="E599" s="33"/>
      <c r="F599" s="33" t="s">
        <v>51</v>
      </c>
      <c r="G599" s="36"/>
      <c r="H599" s="60" t="s">
        <v>1102</v>
      </c>
      <c r="I599" s="36"/>
      <c r="J599" s="36" t="s">
        <v>1103</v>
      </c>
      <c r="K599" s="60" t="str">
        <f t="shared" si="17"/>
        <v>Plato at the Googleplex: Why Philosophy Won't Go Away by Rebecca Goldstein</v>
      </c>
    </row>
    <row r="600" outlineLevel="1">
      <c r="A600" s="30"/>
      <c r="B600" s="59" t="str">
        <f t="shared" si="16"/>
        <v>Play Your Bigger Game: 9 Minutes to Learn, a Lifetime to Live</v>
      </c>
      <c r="C600" s="32" t="s">
        <v>22</v>
      </c>
      <c r="D600" s="33"/>
      <c r="E600" s="33"/>
      <c r="F600" s="33" t="s">
        <v>51</v>
      </c>
      <c r="G600" s="36"/>
      <c r="H600" s="60" t="s">
        <v>1104</v>
      </c>
      <c r="I600" s="36"/>
      <c r="J600" s="36" t="s">
        <v>1105</v>
      </c>
      <c r="K600" s="60" t="str">
        <f t="shared" si="17"/>
        <v>Play Your Bigger Game: 9 Minutes to Learn, a Lifetime to Live by Rick Tamlyn</v>
      </c>
    </row>
    <row r="601" outlineLevel="1">
      <c r="A601" s="30"/>
      <c r="B601" s="59" t="str">
        <f t="shared" si="16"/>
        <v>Playground: A Novel</v>
      </c>
      <c r="C601" s="32" t="s">
        <v>10</v>
      </c>
      <c r="D601" s="33"/>
      <c r="E601" s="33"/>
      <c r="F601" s="33" t="s">
        <v>51</v>
      </c>
      <c r="G601" s="36"/>
      <c r="H601" s="60" t="s">
        <v>1106</v>
      </c>
      <c r="I601" s="36"/>
      <c r="J601" s="36" t="s">
        <v>1107</v>
      </c>
      <c r="K601" s="60" t="str">
        <f t="shared" si="17"/>
        <v>Playground: A Novel by Richard Powers</v>
      </c>
    </row>
    <row r="602" outlineLevel="1">
      <c r="A602" s="30"/>
      <c r="B602" s="59" t="str">
        <f t="shared" si="16"/>
        <v>Positive Intelligence: Why Only 20% of Teams and Individuals Achieve Their True Potential AND HOW YOU CAN ACHIEVE YOURS</v>
      </c>
      <c r="C602" s="32" t="s">
        <v>10</v>
      </c>
      <c r="D602" s="33"/>
      <c r="E602" s="33"/>
      <c r="F602" s="33" t="s">
        <v>51</v>
      </c>
      <c r="G602" s="36"/>
      <c r="H602" s="60" t="s">
        <v>1108</v>
      </c>
      <c r="I602" s="36"/>
      <c r="J602" s="36" t="s">
        <v>1109</v>
      </c>
      <c r="K602" s="60" t="str">
        <f t="shared" si="17"/>
        <v>Positive Intelligence: Why Only 20% of Teams and Individuals Achieve Their True Potential AND HOW YOU CAN ACHIEVE YOURS by Shirzad Chamine</v>
      </c>
    </row>
    <row r="603" outlineLevel="1">
      <c r="A603" s="30"/>
      <c r="B603" s="59" t="str">
        <f t="shared" si="16"/>
        <v>Power Down (A Dewey Andreas Novel, 1)</v>
      </c>
      <c r="C603" s="32" t="s">
        <v>10</v>
      </c>
      <c r="D603" s="33"/>
      <c r="E603" s="33"/>
      <c r="F603" s="33" t="s">
        <v>51</v>
      </c>
      <c r="G603" s="36"/>
      <c r="H603" s="60" t="s">
        <v>1110</v>
      </c>
      <c r="I603" s="36"/>
      <c r="J603" s="36" t="s">
        <v>1111</v>
      </c>
      <c r="K603" s="60" t="str">
        <f t="shared" si="17"/>
        <v>Power Down (A Dewey Andreas Novel, 1) by Ben Coes</v>
      </c>
    </row>
    <row r="604" outlineLevel="1">
      <c r="A604" s="30"/>
      <c r="B604" s="59" t="str">
        <f t="shared" si="16"/>
        <v>Power Wars: Inside Obama's Post-9/11 Presidency</v>
      </c>
      <c r="C604" s="32" t="s">
        <v>22</v>
      </c>
      <c r="D604" s="33"/>
      <c r="E604" s="33"/>
      <c r="F604" s="33" t="s">
        <v>51</v>
      </c>
      <c r="G604" s="36"/>
      <c r="H604" s="60" t="s">
        <v>1112</v>
      </c>
      <c r="I604" s="36"/>
      <c r="J604" s="36" t="s">
        <v>1113</v>
      </c>
      <c r="K604" s="60" t="str">
        <f t="shared" si="17"/>
        <v>Power Wars: Inside Obama's Post-9/11 Presidency by Charlie Savage</v>
      </c>
    </row>
    <row r="605" outlineLevel="1">
      <c r="A605" s="30"/>
      <c r="B605" s="59" t="str">
        <f t="shared" si="16"/>
        <v>Practice Perfect: 42 Rules for Getting Better at Getting Better</v>
      </c>
      <c r="C605" s="32" t="s">
        <v>22</v>
      </c>
      <c r="D605" s="33"/>
      <c r="E605" s="33"/>
      <c r="F605" s="33" t="s">
        <v>51</v>
      </c>
      <c r="G605" s="36"/>
      <c r="H605" s="60" t="s">
        <v>1114</v>
      </c>
      <c r="I605" s="36"/>
      <c r="J605" s="36" t="s">
        <v>1115</v>
      </c>
      <c r="K605" s="60" t="str">
        <f t="shared" si="17"/>
        <v>Practice Perfect: 42 Rules for Getting Better at Getting Better by Doug Lemov, Erica Woolway</v>
      </c>
    </row>
    <row r="606" outlineLevel="1">
      <c r="A606" s="30"/>
      <c r="B606" s="59" t="str">
        <f t="shared" si="16"/>
        <v>Presence: Bringing Your Boldest Self to Your Biggest Challenges</v>
      </c>
      <c r="C606" s="32" t="s">
        <v>22</v>
      </c>
      <c r="D606" s="33"/>
      <c r="E606" s="33"/>
      <c r="F606" s="33" t="s">
        <v>51</v>
      </c>
      <c r="G606" s="36"/>
      <c r="H606" s="60" t="s">
        <v>1116</v>
      </c>
      <c r="I606" s="36"/>
      <c r="J606" s="36" t="s">
        <v>1117</v>
      </c>
      <c r="K606" s="60" t="str">
        <f t="shared" si="17"/>
        <v>Presence: Bringing Your Boldest Self to Your Biggest Challenges by Amy Cuddy</v>
      </c>
    </row>
    <row r="607" outlineLevel="1">
      <c r="A607" s="30"/>
      <c r="B607" s="59" t="str">
        <f t="shared" si="16"/>
        <v>Presidents of War: The Epic Story, from 1807 to Modern Times</v>
      </c>
      <c r="C607" s="32" t="s">
        <v>22</v>
      </c>
      <c r="D607" s="33"/>
      <c r="E607" s="33"/>
      <c r="F607" s="33" t="s">
        <v>51</v>
      </c>
      <c r="G607" s="36"/>
      <c r="H607" s="60" t="s">
        <v>1118</v>
      </c>
      <c r="I607" s="36"/>
      <c r="J607" s="36" t="s">
        <v>1119</v>
      </c>
      <c r="K607" s="60" t="str">
        <f t="shared" si="17"/>
        <v>Presidents of War: The Epic Story, from 1807 to Modern Times by Michael Beschloss</v>
      </c>
    </row>
    <row r="608" outlineLevel="1">
      <c r="A608" s="30"/>
      <c r="B608" s="59" t="str">
        <f t="shared" si="16"/>
        <v>Priestdaddy: A Memoir</v>
      </c>
      <c r="C608" s="32" t="s">
        <v>22</v>
      </c>
      <c r="D608" s="33"/>
      <c r="E608" s="33"/>
      <c r="F608" s="33" t="s">
        <v>51</v>
      </c>
      <c r="G608" s="36"/>
      <c r="H608" s="60" t="s">
        <v>1120</v>
      </c>
      <c r="I608" s="36"/>
      <c r="J608" s="36" t="s">
        <v>1121</v>
      </c>
      <c r="K608" s="60" t="str">
        <f t="shared" si="17"/>
        <v>Priestdaddy: A Memoir by Patricia Lockwood</v>
      </c>
    </row>
    <row r="609" outlineLevel="1">
      <c r="A609" s="30"/>
      <c r="B609" s="59" t="str">
        <f t="shared" si="16"/>
        <v>Probably Overthinking It: How to Use Data to Answer Questions, Avoid Statistical Traps, and Make Better Decisions</v>
      </c>
      <c r="C609" s="32" t="s">
        <v>22</v>
      </c>
      <c r="D609" s="33"/>
      <c r="E609" s="33"/>
      <c r="F609" s="33" t="s">
        <v>51</v>
      </c>
      <c r="G609" s="36"/>
      <c r="H609" s="60" t="s">
        <v>1122</v>
      </c>
      <c r="I609" s="36"/>
      <c r="J609" s="36" t="s">
        <v>1123</v>
      </c>
      <c r="K609" s="60" t="str">
        <f t="shared" si="17"/>
        <v>Probably Overthinking It: How to Use Data to Answer Questions, Avoid Statistical Traps, and Make Better Decisions by Allen B. Downey</v>
      </c>
    </row>
    <row r="610" outlineLevel="1">
      <c r="A610" s="30"/>
      <c r="B610" s="59" t="str">
        <f t="shared" si="16"/>
        <v>Pursuing Consciousness: The Book of Enlightenment and Transformation</v>
      </c>
      <c r="C610" s="32" t="s">
        <v>22</v>
      </c>
      <c r="D610" s="33"/>
      <c r="E610" s="33"/>
      <c r="F610" s="33" t="s">
        <v>51</v>
      </c>
      <c r="G610" s="36"/>
      <c r="H610" s="60" t="s">
        <v>1124</v>
      </c>
      <c r="I610" s="36"/>
      <c r="J610" s="36" t="s">
        <v>1125</v>
      </c>
      <c r="K610" s="60" t="str">
        <f t="shared" si="17"/>
        <v>Pursuing Consciousness: The Book of Enlightenment and Transformation by Peter Ralston</v>
      </c>
    </row>
    <row r="611" outlineLevel="1">
      <c r="A611" s="30"/>
      <c r="B611" s="59" t="str">
        <f t="shared" si="16"/>
        <v>Pushing Brilliance: A heroic quest packed with action, intrigue, and nail-biting suspense (Kyle Achilles Book 1)</v>
      </c>
      <c r="C611" s="32" t="s">
        <v>10</v>
      </c>
      <c r="D611" s="33"/>
      <c r="E611" s="33"/>
      <c r="F611" s="33" t="s">
        <v>51</v>
      </c>
      <c r="G611" s="36"/>
      <c r="H611" s="60" t="s">
        <v>1126</v>
      </c>
      <c r="I611" s="36"/>
      <c r="J611" s="36" t="s">
        <v>1127</v>
      </c>
      <c r="K611" s="60" t="str">
        <f t="shared" si="17"/>
        <v>Pushing Brilliance: A heroic quest packed with action, intrigue, and nail-biting suspense (Kyle Achilles Book 1) by Tim Tigner</v>
      </c>
    </row>
    <row r="612" outlineLevel="1">
      <c r="A612" s="30"/>
      <c r="B612" s="59" t="str">
        <f t="shared" si="16"/>
        <v>Quicksand: A Novel</v>
      </c>
      <c r="C612" s="32" t="s">
        <v>10</v>
      </c>
      <c r="D612" s="33"/>
      <c r="E612" s="33"/>
      <c r="F612" s="33" t="s">
        <v>51</v>
      </c>
      <c r="G612" s="36"/>
      <c r="H612" s="60" t="s">
        <v>1128</v>
      </c>
      <c r="I612" s="36"/>
      <c r="J612" s="36" t="s">
        <v>1129</v>
      </c>
      <c r="K612" s="60" t="str">
        <f t="shared" si="17"/>
        <v>Quicksand: A Novel by Malin Persson Giolito, Rachel Willson-Broyles</v>
      </c>
    </row>
    <row r="613" outlineLevel="1">
      <c r="A613" s="30"/>
      <c r="B613" s="59" t="str">
        <f t="shared" si="16"/>
        <v>Quit: The Power of Knowing When to Walk Away</v>
      </c>
      <c r="C613" s="32" t="s">
        <v>22</v>
      </c>
      <c r="D613" s="33"/>
      <c r="E613" s="33"/>
      <c r="F613" s="33" t="s">
        <v>51</v>
      </c>
      <c r="G613" s="36"/>
      <c r="H613" s="60" t="s">
        <v>1130</v>
      </c>
      <c r="I613" s="36"/>
      <c r="J613" s="36" t="s">
        <v>1131</v>
      </c>
      <c r="K613" s="60" t="str">
        <f t="shared" si="17"/>
        <v>Quit: The Power of Knowing When to Walk Away by Annie Duke</v>
      </c>
    </row>
    <row r="614" outlineLevel="1">
      <c r="A614" s="30"/>
      <c r="B614" s="59" t="str">
        <f t="shared" si="16"/>
        <v>Race</v>
      </c>
      <c r="C614" s="32" t="s">
        <v>10</v>
      </c>
      <c r="D614" s="33"/>
      <c r="E614" s="33"/>
      <c r="F614" s="33" t="s">
        <v>51</v>
      </c>
      <c r="G614" s="36"/>
      <c r="H614" s="60" t="s">
        <v>1132</v>
      </c>
      <c r="I614" s="36"/>
      <c r="J614" s="36" t="s">
        <v>1133</v>
      </c>
      <c r="K614" s="60" t="str">
        <f t="shared" si="17"/>
        <v>Race by David Mamet</v>
      </c>
    </row>
    <row r="615" outlineLevel="1">
      <c r="A615" s="30"/>
      <c r="B615" s="59" t="str">
        <f t="shared" si="16"/>
        <v>Race After Technology: Abolitionist Tools for the New Jim Code</v>
      </c>
      <c r="C615" s="32" t="s">
        <v>10</v>
      </c>
      <c r="D615" s="33"/>
      <c r="E615" s="33"/>
      <c r="F615" s="33" t="s">
        <v>51</v>
      </c>
      <c r="G615" s="36"/>
      <c r="H615" s="60" t="s">
        <v>1134</v>
      </c>
      <c r="I615" s="36"/>
      <c r="J615" s="36" t="s">
        <v>1135</v>
      </c>
      <c r="K615" s="60" t="str">
        <f t="shared" si="17"/>
        <v>Race After Technology: Abolitionist Tools for the New Jim Code by Ruha Benjamin</v>
      </c>
    </row>
    <row r="616" outlineLevel="1">
      <c r="A616" s="30"/>
      <c r="B616" s="59" t="str">
        <f t="shared" si="16"/>
        <v>Rainbows End: A Novel with One Foot in the Future</v>
      </c>
      <c r="C616" s="32" t="s">
        <v>10</v>
      </c>
      <c r="D616" s="33"/>
      <c r="E616" s="33"/>
      <c r="F616" s="33" t="s">
        <v>51</v>
      </c>
      <c r="G616" s="36"/>
      <c r="H616" s="60" t="s">
        <v>1136</v>
      </c>
      <c r="I616" s="36"/>
      <c r="J616" s="36" t="s">
        <v>1137</v>
      </c>
      <c r="K616" s="60" t="str">
        <f t="shared" si="17"/>
        <v>Rainbows End: A Novel with One Foot in the Future by Vernor Vinge</v>
      </c>
    </row>
    <row r="617" outlineLevel="1">
      <c r="A617" s="30"/>
      <c r="B617" s="59" t="str">
        <f t="shared" si="16"/>
        <v>Raising An Emotionally Intelligent Child The Heart of Parenting</v>
      </c>
      <c r="C617" s="32" t="s">
        <v>10</v>
      </c>
      <c r="D617" s="33"/>
      <c r="E617" s="33"/>
      <c r="F617" s="33" t="s">
        <v>51</v>
      </c>
      <c r="G617" s="36"/>
      <c r="H617" s="60" t="s">
        <v>1138</v>
      </c>
      <c r="I617" s="36"/>
      <c r="J617" s="36" t="s">
        <v>1139</v>
      </c>
      <c r="K617" s="60" t="str">
        <f t="shared" si="17"/>
        <v>Raising An Emotionally Intelligent Child The Heart of Parenting by Ph.D. John Gottman, Joan Declaire</v>
      </c>
    </row>
    <row r="618" outlineLevel="1">
      <c r="A618" s="30"/>
      <c r="B618" s="59" t="str">
        <f t="shared" si="16"/>
        <v>Rasika: Flavors of India</v>
      </c>
      <c r="C618" s="32" t="s">
        <v>10</v>
      </c>
      <c r="D618" s="33"/>
      <c r="E618" s="33"/>
      <c r="F618" s="33" t="s">
        <v>51</v>
      </c>
      <c r="G618" s="36"/>
      <c r="H618" s="60" t="s">
        <v>1140</v>
      </c>
      <c r="I618" s="36"/>
      <c r="J618" s="36" t="s">
        <v>1141</v>
      </c>
      <c r="K618" s="60" t="str">
        <f t="shared" si="17"/>
        <v>Rasika: Flavors of India by Ashok Bajaj, Vikram Sunderam</v>
      </c>
    </row>
    <row r="619" outlineLevel="1">
      <c r="A619" s="30"/>
      <c r="B619" s="59" t="str">
        <f t="shared" si="16"/>
        <v>Rationality: What It Is, Why It Seems Scarce, Why It Matters</v>
      </c>
      <c r="C619" s="32" t="s">
        <v>22</v>
      </c>
      <c r="D619" s="33"/>
      <c r="E619" s="33"/>
      <c r="F619" s="33" t="s">
        <v>51</v>
      </c>
      <c r="G619" s="36"/>
      <c r="H619" s="60" t="s">
        <v>670</v>
      </c>
      <c r="I619" s="36"/>
      <c r="J619" s="36" t="s">
        <v>1142</v>
      </c>
      <c r="K619" s="60" t="str">
        <f t="shared" si="17"/>
        <v>Rationality: What It Is, Why It Seems Scarce, Why It Matters by Steven Pinker</v>
      </c>
    </row>
    <row r="620" outlineLevel="1">
      <c r="A620" s="30"/>
      <c r="B620" s="59" t="str">
        <f t="shared" si="16"/>
        <v>Razorblade Tears: A Novel</v>
      </c>
      <c r="C620" s="32" t="s">
        <v>10</v>
      </c>
      <c r="D620" s="33"/>
      <c r="E620" s="33"/>
      <c r="F620" s="33" t="s">
        <v>51</v>
      </c>
      <c r="G620" s="36"/>
      <c r="H620" s="60" t="s">
        <v>1143</v>
      </c>
      <c r="I620" s="36"/>
      <c r="J620" s="36" t="s">
        <v>1144</v>
      </c>
      <c r="K620" s="60" t="str">
        <f t="shared" si="17"/>
        <v>Razorblade Tears: A Novel by S. A. Cosby</v>
      </c>
    </row>
    <row r="621" outlineLevel="1">
      <c r="A621" s="30"/>
      <c r="B621" s="59" t="str">
        <f t="shared" si="16"/>
        <v>Reclaiming Conversation: The Power of Talk in a Digital Age</v>
      </c>
      <c r="C621" s="32" t="s">
        <v>10</v>
      </c>
      <c r="D621" s="33"/>
      <c r="E621" s="33"/>
      <c r="F621" s="33" t="s">
        <v>51</v>
      </c>
      <c r="G621" s="36"/>
      <c r="H621" s="60" t="s">
        <v>1145</v>
      </c>
      <c r="I621" s="36"/>
      <c r="J621" s="36" t="s">
        <v>1146</v>
      </c>
      <c r="K621" s="60" t="str">
        <f t="shared" si="17"/>
        <v>Reclaiming Conversation: The Power of Talk in a Digital Age by Sherry Turkle</v>
      </c>
    </row>
    <row r="622" outlineLevel="1">
      <c r="A622" s="30"/>
      <c r="B622" s="59" t="str">
        <f t="shared" si="16"/>
        <v>Red Sparrow: A Novel (The Red Sparrow Trilogy)</v>
      </c>
      <c r="C622" s="32" t="s">
        <v>10</v>
      </c>
      <c r="D622" s="33"/>
      <c r="E622" s="33"/>
      <c r="F622" s="33" t="s">
        <v>51</v>
      </c>
      <c r="G622" s="36"/>
      <c r="H622" s="60" t="s">
        <v>1147</v>
      </c>
      <c r="I622" s="36"/>
      <c r="J622" s="36" t="s">
        <v>1148</v>
      </c>
      <c r="K622" s="60" t="str">
        <f t="shared" si="17"/>
        <v>Red Sparrow: A Novel (The Red Sparrow Trilogy) by Jason Matthews</v>
      </c>
    </row>
    <row r="623" outlineLevel="1">
      <c r="A623" s="30"/>
      <c r="B623" s="59" t="str">
        <f t="shared" si="16"/>
        <v>Regeneration</v>
      </c>
      <c r="C623" s="32" t="s">
        <v>10</v>
      </c>
      <c r="D623" s="33"/>
      <c r="E623" s="33"/>
      <c r="F623" s="33" t="s">
        <v>51</v>
      </c>
      <c r="G623" s="36"/>
      <c r="H623" s="60" t="s">
        <v>1149</v>
      </c>
      <c r="I623" s="36"/>
      <c r="J623" s="36" t="s">
        <v>1150</v>
      </c>
      <c r="K623" s="60" t="str">
        <f t="shared" si="17"/>
        <v>Regeneration by Pat Barker</v>
      </c>
    </row>
    <row r="624" outlineLevel="1">
      <c r="A624" s="30"/>
      <c r="B624" s="59" t="str">
        <f t="shared" si="16"/>
        <v>Remarkably Bright Creatures: A Novel</v>
      </c>
      <c r="C624" s="32" t="s">
        <v>10</v>
      </c>
      <c r="D624" s="33"/>
      <c r="E624" s="33"/>
      <c r="F624" s="33" t="s">
        <v>51</v>
      </c>
      <c r="G624" s="36"/>
      <c r="H624" s="60" t="s">
        <v>1151</v>
      </c>
      <c r="I624" s="36"/>
      <c r="J624" s="36" t="s">
        <v>1152</v>
      </c>
      <c r="K624" s="60" t="str">
        <f t="shared" si="17"/>
        <v>Remarkably Bright Creatures: A Novel by Marin Ireland, Michael Urie</v>
      </c>
    </row>
    <row r="625" outlineLevel="1">
      <c r="A625" s="30"/>
      <c r="B625" s="59" t="str">
        <f t="shared" si="16"/>
        <v>Remarkably Bright Creatures: A Novel</v>
      </c>
      <c r="C625" s="32" t="s">
        <v>10</v>
      </c>
      <c r="D625" s="33"/>
      <c r="E625" s="33"/>
      <c r="F625" s="33" t="s">
        <v>51</v>
      </c>
      <c r="G625" s="36"/>
      <c r="H625" s="60" t="s">
        <v>1153</v>
      </c>
      <c r="I625" s="36"/>
      <c r="J625" s="36" t="s">
        <v>1152</v>
      </c>
      <c r="K625" s="60" t="str">
        <f t="shared" si="17"/>
        <v>Remarkably Bright Creatures: A Novel by Shelby Van Pelt</v>
      </c>
    </row>
    <row r="626" outlineLevel="1">
      <c r="A626" s="30"/>
      <c r="B626" s="59" t="str">
        <f t="shared" si="16"/>
        <v>Renato's Luck: A Journey Through a Tuscan Village to Rome to Save Marriage, Family, and Town</v>
      </c>
      <c r="C626" s="32" t="s">
        <v>10</v>
      </c>
      <c r="D626" s="33"/>
      <c r="E626" s="33"/>
      <c r="F626" s="33" t="s">
        <v>51</v>
      </c>
      <c r="G626" s="36"/>
      <c r="H626" s="60" t="s">
        <v>1154</v>
      </c>
      <c r="I626" s="36"/>
      <c r="J626" s="36" t="s">
        <v>1155</v>
      </c>
      <c r="K626" s="60" t="str">
        <f t="shared" si="17"/>
        <v>Renato's Luck: A Journey Through a Tuscan Village to Rome to Save Marriage, Family, and Town by Jeff Shapiro</v>
      </c>
    </row>
    <row r="627" outlineLevel="1">
      <c r="A627" s="30"/>
      <c r="B627" s="59" t="str">
        <f t="shared" si="16"/>
        <v>Repo Virtual</v>
      </c>
      <c r="C627" s="32" t="s">
        <v>10</v>
      </c>
      <c r="D627" s="33"/>
      <c r="E627" s="33"/>
      <c r="F627" s="33" t="s">
        <v>51</v>
      </c>
      <c r="G627" s="36"/>
      <c r="H627" s="60" t="s">
        <v>1156</v>
      </c>
      <c r="I627" s="36"/>
      <c r="J627" s="36" t="s">
        <v>1157</v>
      </c>
      <c r="K627" s="60" t="str">
        <f t="shared" si="17"/>
        <v>Repo Virtual by Corey J. White</v>
      </c>
    </row>
    <row r="628" outlineLevel="1">
      <c r="A628" s="30"/>
      <c r="B628" s="59" t="str">
        <f t="shared" si="16"/>
        <v>Rich White Men: What It Takes to Uproot the Old Boys' Club and Transform America</v>
      </c>
      <c r="C628" s="32" t="s">
        <v>22</v>
      </c>
      <c r="D628" s="33"/>
      <c r="E628" s="33"/>
      <c r="F628" s="33" t="s">
        <v>51</v>
      </c>
      <c r="G628" s="36"/>
      <c r="H628" s="60" t="s">
        <v>1158</v>
      </c>
      <c r="I628" s="36"/>
      <c r="J628" s="36" t="s">
        <v>1159</v>
      </c>
      <c r="K628" s="60" t="str">
        <f t="shared" si="17"/>
        <v>Rich White Men: What It Takes to Uproot the Old Boys' Club and Transform America by Garrett Neiman, Robin DiAngelo</v>
      </c>
    </row>
    <row r="629" outlineLevel="1">
      <c r="A629" s="30"/>
      <c r="B629" s="59" t="str">
        <f t="shared" si="16"/>
        <v>Ritchie Boy Secrets: How a Force of Immigrants and Refugees Helped Win World War II</v>
      </c>
      <c r="C629" s="32" t="s">
        <v>10</v>
      </c>
      <c r="D629" s="33"/>
      <c r="E629" s="33"/>
      <c r="F629" s="33" t="s">
        <v>51</v>
      </c>
      <c r="G629" s="36"/>
      <c r="H629" s="60" t="s">
        <v>1160</v>
      </c>
      <c r="I629" s="36"/>
      <c r="J629" s="36" t="s">
        <v>1161</v>
      </c>
      <c r="K629" s="60" t="str">
        <f t="shared" si="17"/>
        <v>Ritchie Boy Secrets: How a Force of Immigrants and Refugees Helped Win World War II by Beverley Driver Eddy</v>
      </c>
    </row>
    <row r="630" outlineLevel="1">
      <c r="A630" s="30"/>
      <c r="B630" s="59" t="str">
        <f t="shared" si="16"/>
        <v>Road to Huertgen: Forest in Hell</v>
      </c>
      <c r="C630" s="32" t="s">
        <v>10</v>
      </c>
      <c r="D630" s="33"/>
      <c r="E630" s="33"/>
      <c r="F630" s="33" t="s">
        <v>51</v>
      </c>
      <c r="G630" s="36"/>
      <c r="H630" s="60" t="s">
        <v>1162</v>
      </c>
      <c r="I630" s="36"/>
      <c r="J630" s="36" t="s">
        <v>1163</v>
      </c>
      <c r="K630" s="60" t="str">
        <f t="shared" si="17"/>
        <v>Road to Huertgen: Forest in Hell by Paul Boesch</v>
      </c>
    </row>
    <row r="631" outlineLevel="1">
      <c r="A631" s="30"/>
      <c r="B631" s="59" t="str">
        <f t="shared" si="16"/>
        <v>Road to Surrender: Three Men and the Countdown to the End of World War II</v>
      </c>
      <c r="C631" s="32" t="s">
        <v>22</v>
      </c>
      <c r="D631" s="33"/>
      <c r="E631" s="33"/>
      <c r="F631" s="33" t="s">
        <v>51</v>
      </c>
      <c r="G631" s="36"/>
      <c r="H631" s="60" t="s">
        <v>1164</v>
      </c>
      <c r="I631" s="36"/>
      <c r="J631" s="36" t="s">
        <v>1165</v>
      </c>
      <c r="K631" s="60" t="str">
        <f t="shared" si="17"/>
        <v>Road to Surrender: Three Men and the Countdown to the End of World War II by Evan Thomas</v>
      </c>
    </row>
    <row r="632" outlineLevel="1">
      <c r="A632" s="30"/>
      <c r="B632" s="59" t="str">
        <f t="shared" si="16"/>
        <v>Rock, Paper, Scissors: The Instant Leadership Solution</v>
      </c>
      <c r="C632" s="32" t="s">
        <v>22</v>
      </c>
      <c r="D632" s="33"/>
      <c r="E632" s="33"/>
      <c r="F632" s="33" t="s">
        <v>51</v>
      </c>
      <c r="G632" s="36"/>
      <c r="H632" s="60" t="s">
        <v>1166</v>
      </c>
      <c r="I632" s="36"/>
      <c r="J632" s="36" t="s">
        <v>1167</v>
      </c>
      <c r="K632" s="60" t="str">
        <f t="shared" si="17"/>
        <v>Rock, Paper, Scissors: The Instant Leadership Solution by Will Jacobs, Fred Lennox</v>
      </c>
    </row>
    <row r="633" outlineLevel="1">
      <c r="A633" s="30"/>
      <c r="B633" s="59" t="str">
        <f t="shared" si="16"/>
        <v>Rogue Heroes: The History of the SAS, Britain's Secret Special Forces Unit That Sabotaged the Nazis and Changed the Nature of War</v>
      </c>
      <c r="C633" s="32" t="s">
        <v>10</v>
      </c>
      <c r="D633" s="33"/>
      <c r="E633" s="33"/>
      <c r="F633" s="33" t="s">
        <v>51</v>
      </c>
      <c r="G633" s="36"/>
      <c r="H633" s="60" t="s">
        <v>1168</v>
      </c>
      <c r="I633" s="36"/>
      <c r="J633" s="36" t="s">
        <v>1169</v>
      </c>
      <c r="K633" s="60" t="str">
        <f t="shared" si="17"/>
        <v>Rogue Heroes: The History of the SAS, Britain's Secret Special Forces Unit That Sabotaged the Nazis and Changed the Nature of War by Ben Macintyre</v>
      </c>
    </row>
    <row r="634" outlineLevel="1">
      <c r="A634" s="30"/>
      <c r="B634" s="59" t="str">
        <f t="shared" si="16"/>
        <v>Rogue Lawyer: A Novel</v>
      </c>
      <c r="C634" s="32" t="s">
        <v>10</v>
      </c>
      <c r="D634" s="33"/>
      <c r="E634" s="33"/>
      <c r="F634" s="33" t="s">
        <v>51</v>
      </c>
      <c r="G634" s="36"/>
      <c r="H634" s="60" t="s">
        <v>1170</v>
      </c>
      <c r="I634" s="36"/>
      <c r="J634" s="36" t="s">
        <v>1171</v>
      </c>
      <c r="K634" s="60" t="str">
        <f t="shared" si="17"/>
        <v>Rogue Lawyer: A Novel by John Grisham</v>
      </c>
    </row>
    <row r="635" outlineLevel="1">
      <c r="A635" s="30"/>
      <c r="B635" s="59" t="str">
        <f t="shared" si="16"/>
        <v>Rough Riders: Theodore Roosevelt, His Cowboy Regiment, and the Immortal Charge Up San Juan Hill</v>
      </c>
      <c r="C635" s="32" t="s">
        <v>10</v>
      </c>
      <c r="D635" s="33"/>
      <c r="E635" s="33"/>
      <c r="F635" s="33" t="s">
        <v>51</v>
      </c>
      <c r="G635" s="36"/>
      <c r="H635" s="60" t="s">
        <v>1172</v>
      </c>
      <c r="I635" s="36"/>
      <c r="J635" s="36" t="s">
        <v>1173</v>
      </c>
      <c r="K635" s="60" t="str">
        <f t="shared" si="17"/>
        <v>Rough Riders: Theodore Roosevelt, His Cowboy Regiment, and the Immortal Charge Up San Juan Hill by Mark Lee Gardner</v>
      </c>
    </row>
    <row r="636" outlineLevel="1">
      <c r="A636" s="30"/>
      <c r="B636" s="59" t="str">
        <f t="shared" si="16"/>
        <v>Russia's War: A History of the Soviet Effort: 1941-1945</v>
      </c>
      <c r="C636" s="32" t="s">
        <v>10</v>
      </c>
      <c r="D636" s="33"/>
      <c r="E636" s="33"/>
      <c r="F636" s="33" t="s">
        <v>51</v>
      </c>
      <c r="G636" s="36"/>
      <c r="H636" s="60" t="s">
        <v>1174</v>
      </c>
      <c r="I636" s="36"/>
      <c r="J636" s="36" t="s">
        <v>1175</v>
      </c>
      <c r="K636" s="60" t="str">
        <f t="shared" si="17"/>
        <v>Russia's War: A History of the Soviet Effort: 1941-1945 by Richard Overy</v>
      </c>
    </row>
    <row r="637" outlineLevel="1">
      <c r="A637" s="30"/>
      <c r="B637" s="59" t="str">
        <f t="shared" si="16"/>
        <v>Saga Vol. 1</v>
      </c>
      <c r="C637" s="32" t="s">
        <v>10</v>
      </c>
      <c r="D637" s="33"/>
      <c r="E637" s="33"/>
      <c r="F637" s="33" t="s">
        <v>51</v>
      </c>
      <c r="G637" s="36"/>
      <c r="H637" s="60" t="s">
        <v>1176</v>
      </c>
      <c r="I637" s="36"/>
      <c r="J637" s="36" t="s">
        <v>1177</v>
      </c>
      <c r="K637" s="60" t="str">
        <f t="shared" si="17"/>
        <v>Saga Vol. 1 by Brian K. Vaughan, Fiona Staples</v>
      </c>
    </row>
    <row r="638" outlineLevel="1">
      <c r="A638" s="30"/>
      <c r="B638" s="59" t="str">
        <f t="shared" si="16"/>
        <v>Same as Ever: A Guide to What Never Changes</v>
      </c>
      <c r="C638" s="32" t="s">
        <v>22</v>
      </c>
      <c r="D638" s="33"/>
      <c r="E638" s="33"/>
      <c r="F638" s="33" t="s">
        <v>51</v>
      </c>
      <c r="G638" s="36"/>
      <c r="H638" s="60" t="s">
        <v>1178</v>
      </c>
      <c r="I638" s="36"/>
      <c r="J638" s="36" t="s">
        <v>1179</v>
      </c>
      <c r="K638" s="60" t="str">
        <f t="shared" si="17"/>
        <v>Same as Ever: A Guide to What Never Changes by Morgan Housel</v>
      </c>
    </row>
    <row r="639" outlineLevel="1">
      <c r="A639" s="30"/>
      <c r="B639" s="59" t="str">
        <f t="shared" si="16"/>
        <v>Scaling People: Tactics for Management and Company Building</v>
      </c>
      <c r="C639" s="32" t="s">
        <v>22</v>
      </c>
      <c r="D639" s="33"/>
      <c r="E639" s="33"/>
      <c r="F639" s="33" t="s">
        <v>51</v>
      </c>
      <c r="G639" s="36"/>
      <c r="H639" s="60" t="s">
        <v>1180</v>
      </c>
      <c r="I639" s="36"/>
      <c r="J639" s="36" t="s">
        <v>1181</v>
      </c>
      <c r="K639" s="60" t="str">
        <f t="shared" si="17"/>
        <v>Scaling People: Tactics for Management and Company Building by Claire Hughes Johnson</v>
      </c>
    </row>
    <row r="640" outlineLevel="1">
      <c r="A640" s="30"/>
      <c r="B640" s="59" t="str">
        <f t="shared" si="16"/>
        <v>Schindler's List</v>
      </c>
      <c r="C640" s="32" t="s">
        <v>10</v>
      </c>
      <c r="D640" s="33"/>
      <c r="E640" s="33"/>
      <c r="F640" s="33" t="s">
        <v>51</v>
      </c>
      <c r="G640" s="36"/>
      <c r="H640" s="60" t="s">
        <v>1182</v>
      </c>
      <c r="I640" s="36"/>
      <c r="J640" s="36" t="s">
        <v>1183</v>
      </c>
      <c r="K640" s="60" t="str">
        <f t="shared" si="17"/>
        <v>Schindler's List by Thomas Keneally</v>
      </c>
    </row>
    <row r="641" outlineLevel="1">
      <c r="A641" s="30"/>
      <c r="B641" s="59" t="str">
        <f t="shared" si="16"/>
        <v>Search Inside Yourself: The Unexpected Path to Achieving Success, Happiness (and World Peace)</v>
      </c>
      <c r="C641" s="32" t="s">
        <v>22</v>
      </c>
      <c r="D641" s="33"/>
      <c r="E641" s="33"/>
      <c r="F641" s="33" t="s">
        <v>51</v>
      </c>
      <c r="G641" s="36"/>
      <c r="H641" s="60" t="s">
        <v>1184</v>
      </c>
      <c r="I641" s="36"/>
      <c r="J641" s="36" t="s">
        <v>1185</v>
      </c>
      <c r="K641" s="60" t="str">
        <f t="shared" si="17"/>
        <v>Search Inside Yourself: The Unexpected Path to Achieving Success, Happiness (and World Peace) by Chade-Meng Tan, Daniel Goleman</v>
      </c>
    </row>
    <row r="642" outlineLevel="1">
      <c r="A642" s="30"/>
      <c r="B642" s="59" t="str">
        <f t="shared" si="16"/>
        <v>Secrets to BIG MONEY Fundraising -: Next level nonprofit fundraising using human motivation, storytelling and partnership to increase charity donations.</v>
      </c>
      <c r="C642" s="32" t="s">
        <v>10</v>
      </c>
      <c r="D642" s="33"/>
      <c r="E642" s="33"/>
      <c r="F642" s="33" t="s">
        <v>51</v>
      </c>
      <c r="G642" s="36"/>
      <c r="H642" s="36"/>
      <c r="I642" s="36"/>
      <c r="J642" s="36" t="s">
        <v>1186</v>
      </c>
      <c r="K642" s="60" t="str">
        <f t="shared" si="17"/>
        <v>Secrets to BIG MONEY Fundraising -: Next level nonprofit fundraising using human motivation, storytelling and partnership to increase charity donations. by </v>
      </c>
    </row>
    <row r="643" outlineLevel="1">
      <c r="A643" s="30"/>
      <c r="B643" s="59" t="str">
        <f t="shared" si="16"/>
        <v>Seven Brief Lessons on Physics</v>
      </c>
      <c r="C643" s="32" t="s">
        <v>10</v>
      </c>
      <c r="D643" s="33"/>
      <c r="E643" s="33"/>
      <c r="F643" s="33" t="s">
        <v>51</v>
      </c>
      <c r="G643" s="36"/>
      <c r="H643" s="60" t="s">
        <v>1187</v>
      </c>
      <c r="I643" s="36"/>
      <c r="J643" s="36" t="s">
        <v>1188</v>
      </c>
      <c r="K643" s="60" t="str">
        <f t="shared" si="17"/>
        <v>Seven Brief Lessons on Physics by Carlo Rovelli</v>
      </c>
    </row>
    <row r="644" outlineLevel="1">
      <c r="A644" s="30"/>
      <c r="B644" s="59" t="str">
        <f t="shared" si="16"/>
        <v>Several Short Sentences About Writing</v>
      </c>
      <c r="C644" s="32" t="s">
        <v>10</v>
      </c>
      <c r="D644" s="33"/>
      <c r="E644" s="33"/>
      <c r="F644" s="33" t="s">
        <v>51</v>
      </c>
      <c r="G644" s="36"/>
      <c r="H644" s="60" t="s">
        <v>1189</v>
      </c>
      <c r="I644" s="36"/>
      <c r="J644" s="36" t="s">
        <v>1190</v>
      </c>
      <c r="K644" s="60" t="str">
        <f t="shared" si="17"/>
        <v>Several Short Sentences About Writing by Verlyn Klinkenborg</v>
      </c>
    </row>
    <row r="645" outlineLevel="1">
      <c r="A645" s="30"/>
      <c r="B645" s="59" t="str">
        <f t="shared" si="16"/>
        <v>Shadows and Wind: A View of Modern Vietnam</v>
      </c>
      <c r="C645" s="32" t="s">
        <v>22</v>
      </c>
      <c r="D645" s="33"/>
      <c r="E645" s="33"/>
      <c r="F645" s="33" t="s">
        <v>51</v>
      </c>
      <c r="G645" s="36"/>
      <c r="H645" s="60" t="s">
        <v>1191</v>
      </c>
      <c r="I645" s="36"/>
      <c r="J645" s="36" t="s">
        <v>1192</v>
      </c>
      <c r="K645" s="60" t="str">
        <f t="shared" si="17"/>
        <v>Shadows and Wind: A View of Modern Vietnam by Robert Templer</v>
      </c>
    </row>
    <row r="646" outlineLevel="1">
      <c r="A646" s="30"/>
      <c r="B646" s="59" t="str">
        <f t="shared" si="16"/>
        <v>Shall We Wake the President?: Two Centuries of Disaster Management from the Oval Office</v>
      </c>
      <c r="C646" s="32" t="s">
        <v>10</v>
      </c>
      <c r="D646" s="33"/>
      <c r="E646" s="33"/>
      <c r="F646" s="33" t="s">
        <v>51</v>
      </c>
      <c r="G646" s="36"/>
      <c r="H646" s="60" t="s">
        <v>1193</v>
      </c>
      <c r="I646" s="36"/>
      <c r="J646" s="36" t="s">
        <v>1194</v>
      </c>
      <c r="K646" s="60" t="str">
        <f t="shared" si="17"/>
        <v>Shall We Wake the President?: Two Centuries of Disaster Management from the Oval Office by Tevi Troy, Joseph I. Lieberman</v>
      </c>
    </row>
    <row r="647" outlineLevel="1">
      <c r="A647" s="30"/>
      <c r="B647" s="59" t="str">
        <f t="shared" si="16"/>
        <v>Shannon Messenger..Keeper of the Lost Cities Collection Books 1-9 : Keeper of the Lost Cities; Exile; Everblaze; Neverseen; Lodestar; Nightfall; Flashback; Lagacy; Stellarlune</v>
      </c>
      <c r="C647" s="32" t="s">
        <v>10</v>
      </c>
      <c r="D647" s="33"/>
      <c r="E647" s="33"/>
      <c r="F647" s="33" t="s">
        <v>51</v>
      </c>
      <c r="G647" s="36"/>
      <c r="H647" s="60" t="s">
        <v>1195</v>
      </c>
      <c r="I647" s="36"/>
      <c r="J647" s="36" t="s">
        <v>1196</v>
      </c>
      <c r="K647" s="60" t="str">
        <f t="shared" si="17"/>
        <v>Shannon Messenger..Keeper of the Lost Cities Collection Books 1-9 : Keeper of the Lost Cities; Exile; Everblaze; Neverseen; Lodestar; Nightfall; Flashback; Lagacy; Stellarlune by Shannon Messenger</v>
      </c>
    </row>
    <row r="648" outlineLevel="1">
      <c r="A648" s="30"/>
      <c r="B648" s="59" t="str">
        <f t="shared" si="16"/>
        <v>Shift: Managing Your Emotions--So They Don't Manage You</v>
      </c>
      <c r="C648" s="32" t="s">
        <v>22</v>
      </c>
      <c r="D648" s="33"/>
      <c r="E648" s="33"/>
      <c r="F648" s="33" t="s">
        <v>51</v>
      </c>
      <c r="G648" s="36"/>
      <c r="H648" s="60" t="s">
        <v>75</v>
      </c>
      <c r="I648" s="36"/>
      <c r="J648" s="36" t="s">
        <v>1197</v>
      </c>
      <c r="K648" s="60" t="str">
        <f t="shared" si="17"/>
        <v>Shift: Managing Your Emotions--So They Don't Manage You by Ethan Kross</v>
      </c>
    </row>
    <row r="649" outlineLevel="1">
      <c r="A649" s="30"/>
      <c r="B649" s="59" t="str">
        <f t="shared" si="16"/>
        <v>Sing, Unburied, Sing: A Novel</v>
      </c>
      <c r="C649" s="32" t="s">
        <v>10</v>
      </c>
      <c r="D649" s="33"/>
      <c r="E649" s="33"/>
      <c r="F649" s="33" t="s">
        <v>51</v>
      </c>
      <c r="G649" s="36"/>
      <c r="H649" s="60" t="s">
        <v>1198</v>
      </c>
      <c r="I649" s="36"/>
      <c r="J649" s="36" t="s">
        <v>1199</v>
      </c>
      <c r="K649" s="60" t="str">
        <f t="shared" si="17"/>
        <v>Sing, Unburied, Sing: A Novel by Jesmyn Ward</v>
      </c>
    </row>
    <row r="650" outlineLevel="1">
      <c r="A650" s="30"/>
      <c r="B650" s="59" t="str">
        <f t="shared" si="16"/>
        <v>Slaves in the Family</v>
      </c>
      <c r="C650" s="32" t="s">
        <v>10</v>
      </c>
      <c r="D650" s="33"/>
      <c r="E650" s="33"/>
      <c r="F650" s="33" t="s">
        <v>51</v>
      </c>
      <c r="G650" s="36"/>
      <c r="H650" s="60" t="s">
        <v>1200</v>
      </c>
      <c r="I650" s="36"/>
      <c r="J650" s="36" t="s">
        <v>1201</v>
      </c>
      <c r="K650" s="60" t="str">
        <f t="shared" si="17"/>
        <v>Slaves in the Family by Edward Ball</v>
      </c>
    </row>
    <row r="651" outlineLevel="1">
      <c r="A651" s="30"/>
      <c r="B651" s="59" t="str">
        <f t="shared" si="16"/>
        <v>Sleuthing the Alamo: Davy Crockett's Last Stand and Other Mysteries of the Texas Revolution (New Narratives in American History)</v>
      </c>
      <c r="C651" s="32" t="s">
        <v>10</v>
      </c>
      <c r="D651" s="33"/>
      <c r="E651" s="33"/>
      <c r="F651" s="33" t="s">
        <v>51</v>
      </c>
      <c r="G651" s="36"/>
      <c r="H651" s="60" t="s">
        <v>1202</v>
      </c>
      <c r="I651" s="36"/>
      <c r="J651" s="36" t="s">
        <v>1203</v>
      </c>
      <c r="K651" s="60" t="str">
        <f t="shared" si="17"/>
        <v>Sleuthing the Alamo: Davy Crockett's Last Stand and Other Mysteries of the Texas Revolution (New Narratives in American History) by James E. Crisp</v>
      </c>
    </row>
    <row r="652" outlineLevel="1">
      <c r="A652" s="30"/>
      <c r="B652" s="59" t="str">
        <f t="shared" si="16"/>
        <v>Slow AF Run Club: The Ultimate Guide for Anyone Who Wants to Run</v>
      </c>
      <c r="C652" s="32" t="s">
        <v>22</v>
      </c>
      <c r="D652" s="33"/>
      <c r="E652" s="33"/>
      <c r="F652" s="33" t="s">
        <v>51</v>
      </c>
      <c r="G652" s="36"/>
      <c r="H652" s="60" t="s">
        <v>1204</v>
      </c>
      <c r="I652" s="36"/>
      <c r="J652" s="36" t="s">
        <v>1205</v>
      </c>
      <c r="K652" s="60" t="str">
        <f t="shared" si="17"/>
        <v>Slow AF Run Club: The Ultimate Guide for Anyone Who Wants to Run by Martinus Evans</v>
      </c>
    </row>
    <row r="653" outlineLevel="1">
      <c r="A653" s="30"/>
      <c r="B653" s="59" t="str">
        <f t="shared" si="16"/>
        <v>So Big: (Winner of the Pulitzer Prize)</v>
      </c>
      <c r="C653" s="32" t="s">
        <v>10</v>
      </c>
      <c r="D653" s="33"/>
      <c r="E653" s="33"/>
      <c r="F653" s="33" t="s">
        <v>51</v>
      </c>
      <c r="G653" s="36"/>
      <c r="H653" s="60" t="s">
        <v>1206</v>
      </c>
      <c r="I653" s="36"/>
      <c r="J653" s="36" t="s">
        <v>1207</v>
      </c>
      <c r="K653" s="60" t="str">
        <f t="shared" si="17"/>
        <v>So Big: (Winner of the Pulitzer Prize) by Edna Ferber</v>
      </c>
    </row>
    <row r="654" outlineLevel="1">
      <c r="A654" s="30"/>
      <c r="B654" s="59" t="str">
        <f t="shared" si="16"/>
        <v>Social Physics: How Good Ideas Spread-The Lessons from a New Science</v>
      </c>
      <c r="C654" s="32" t="s">
        <v>10</v>
      </c>
      <c r="D654" s="33"/>
      <c r="E654" s="33"/>
      <c r="F654" s="33" t="s">
        <v>51</v>
      </c>
      <c r="G654" s="36"/>
      <c r="H654" s="60" t="s">
        <v>1208</v>
      </c>
      <c r="I654" s="36"/>
      <c r="J654" s="36" t="s">
        <v>1209</v>
      </c>
      <c r="K654" s="60" t="str">
        <f t="shared" si="17"/>
        <v>Social Physics: How Good Ideas Spread-The Lessons from a New Science by Alex Pentland</v>
      </c>
    </row>
    <row r="655" outlineLevel="1">
      <c r="A655" s="30"/>
      <c r="B655" s="59" t="str">
        <f t="shared" si="16"/>
        <v>Some Luck</v>
      </c>
      <c r="C655" s="32" t="s">
        <v>10</v>
      </c>
      <c r="D655" s="33"/>
      <c r="E655" s="33"/>
      <c r="F655" s="33" t="s">
        <v>51</v>
      </c>
      <c r="G655" s="36" t="s">
        <v>1210</v>
      </c>
      <c r="H655" s="60" t="s">
        <v>1211</v>
      </c>
      <c r="I655" s="36"/>
      <c r="J655" s="36" t="s">
        <v>1212</v>
      </c>
      <c r="K655" s="60" t="str">
        <f t="shared" si="17"/>
        <v>Some Luck by Jane Smiley</v>
      </c>
    </row>
    <row r="656" outlineLevel="1">
      <c r="A656" s="30"/>
      <c r="B656" s="59" t="str">
        <f t="shared" si="16"/>
        <v>Someone Else's Shoes: A Novel</v>
      </c>
      <c r="C656" s="32" t="s">
        <v>10</v>
      </c>
      <c r="D656" s="33"/>
      <c r="E656" s="33"/>
      <c r="F656" s="33" t="s">
        <v>51</v>
      </c>
      <c r="G656" s="36"/>
      <c r="H656" s="60" t="s">
        <v>1213</v>
      </c>
      <c r="I656" s="36"/>
      <c r="J656" s="36" t="s">
        <v>1214</v>
      </c>
      <c r="K656" s="60" t="str">
        <f t="shared" si="17"/>
        <v>Someone Else's Shoes: A Novel by Daisy Ridley, Jojo Moyes</v>
      </c>
    </row>
    <row r="657" outlineLevel="1">
      <c r="A657" s="30"/>
      <c r="B657" s="59" t="str">
        <f t="shared" si="16"/>
        <v>Something Deeply Hidden: Quantum Worlds and the Emergence of Spacetime</v>
      </c>
      <c r="C657" s="32" t="s">
        <v>22</v>
      </c>
      <c r="D657" s="33"/>
      <c r="E657" s="33"/>
      <c r="F657" s="33" t="s">
        <v>51</v>
      </c>
      <c r="G657" s="36"/>
      <c r="H657" s="60" t="s">
        <v>1215</v>
      </c>
      <c r="I657" s="36"/>
      <c r="J657" s="36" t="s">
        <v>1216</v>
      </c>
      <c r="K657" s="60" t="str">
        <f t="shared" si="17"/>
        <v>Something Deeply Hidden: Quantum Worlds and the Emergence of Spacetime by Sean Carroll</v>
      </c>
    </row>
    <row r="658" outlineLevel="1">
      <c r="A658" s="30"/>
      <c r="B658" s="59" t="str">
        <f t="shared" si="16"/>
        <v>Speedboat</v>
      </c>
      <c r="C658" s="32" t="s">
        <v>10</v>
      </c>
      <c r="D658" s="33"/>
      <c r="E658" s="33"/>
      <c r="F658" s="33" t="s">
        <v>51</v>
      </c>
      <c r="G658" s="36"/>
      <c r="H658" s="60" t="s">
        <v>1217</v>
      </c>
      <c r="I658" s="36"/>
      <c r="J658" s="36" t="s">
        <v>1218</v>
      </c>
      <c r="K658" s="60" t="str">
        <f t="shared" si="17"/>
        <v>Speedboat by Renata Adler, Guy Trebay</v>
      </c>
    </row>
    <row r="659" outlineLevel="1">
      <c r="A659" s="30"/>
      <c r="B659" s="59" t="str">
        <f t="shared" si="16"/>
        <v>Spin Dictators: The Changing Face of Tyranny in the 21st Century</v>
      </c>
      <c r="C659" s="32" t="s">
        <v>22</v>
      </c>
      <c r="D659" s="33"/>
      <c r="E659" s="33"/>
      <c r="F659" s="33" t="s">
        <v>51</v>
      </c>
      <c r="G659" s="36"/>
      <c r="H659" s="60" t="s">
        <v>1219</v>
      </c>
      <c r="I659" s="36"/>
      <c r="J659" s="36" t="s">
        <v>1220</v>
      </c>
      <c r="K659" s="60" t="str">
        <f t="shared" si="17"/>
        <v>Spin Dictators: The Changing Face of Tyranny in the 21st Century by Daniel Treisman, Sergei Guriev</v>
      </c>
    </row>
    <row r="660" outlineLevel="1">
      <c r="A660" s="30"/>
      <c r="B660" s="59" t="str">
        <f t="shared" si="16"/>
        <v>SPQR: A History of Ancient Rome</v>
      </c>
      <c r="C660" s="32" t="s">
        <v>22</v>
      </c>
      <c r="D660" s="33"/>
      <c r="E660" s="33"/>
      <c r="F660" s="33" t="s">
        <v>51</v>
      </c>
      <c r="G660" s="36"/>
      <c r="H660" s="60" t="s">
        <v>662</v>
      </c>
      <c r="I660" s="36"/>
      <c r="J660" s="36" t="s">
        <v>1221</v>
      </c>
      <c r="K660" s="60" t="str">
        <f t="shared" si="17"/>
        <v>SPQR: A History of Ancient Rome by Mary Beard</v>
      </c>
    </row>
    <row r="661" outlineLevel="1">
      <c r="A661" s="30"/>
      <c r="B661" s="59" t="str">
        <f t="shared" si="16"/>
        <v>Spying on the South: An Odyssey Across the American Divide</v>
      </c>
      <c r="C661" s="32" t="s">
        <v>10</v>
      </c>
      <c r="D661" s="33"/>
      <c r="E661" s="33"/>
      <c r="F661" s="33" t="s">
        <v>51</v>
      </c>
      <c r="G661" s="36"/>
      <c r="H661" s="60" t="s">
        <v>553</v>
      </c>
      <c r="I661" s="36"/>
      <c r="J661" s="36" t="s">
        <v>1222</v>
      </c>
      <c r="K661" s="60" t="str">
        <f t="shared" si="17"/>
        <v>Spying on the South: An Odyssey Across the American Divide by Tony Horwitz</v>
      </c>
    </row>
    <row r="662" outlineLevel="1">
      <c r="A662" s="30"/>
      <c r="B662" s="59" t="str">
        <f t="shared" si="16"/>
        <v>Stalingrad: The Fateful Siege: 1942-1943</v>
      </c>
      <c r="C662" s="32" t="s">
        <v>22</v>
      </c>
      <c r="D662" s="33"/>
      <c r="E662" s="33"/>
      <c r="F662" s="33" t="s">
        <v>51</v>
      </c>
      <c r="G662" s="36"/>
      <c r="H662" s="60" t="s">
        <v>416</v>
      </c>
      <c r="I662" s="36"/>
      <c r="J662" s="36" t="s">
        <v>1223</v>
      </c>
      <c r="K662" s="60" t="str">
        <f t="shared" si="17"/>
        <v>Stalingrad: The Fateful Siege: 1942-1943 by Antony Beevor</v>
      </c>
    </row>
    <row r="663" outlineLevel="1">
      <c r="A663" s="30"/>
      <c r="B663" s="59" t="str">
        <f t="shared" si="16"/>
        <v>Staring at the Sun: Overcoming the Terror of Death</v>
      </c>
      <c r="C663" s="32" t="s">
        <v>10</v>
      </c>
      <c r="D663" s="33"/>
      <c r="E663" s="33"/>
      <c r="F663" s="33" t="s">
        <v>51</v>
      </c>
      <c r="G663" s="36"/>
      <c r="H663" s="60" t="s">
        <v>689</v>
      </c>
      <c r="I663" s="36"/>
      <c r="J663" s="36" t="s">
        <v>1224</v>
      </c>
      <c r="K663" s="60" t="str">
        <f t="shared" si="17"/>
        <v>Staring at the Sun: Overcoming the Terror of Death by Irvin D. Yalom</v>
      </c>
    </row>
    <row r="664" outlineLevel="1">
      <c r="A664" s="30"/>
      <c r="B664" s="59" t="str">
        <f t="shared" si="16"/>
        <v>State: A Team, a Triumph, a Transformation</v>
      </c>
      <c r="C664" s="32" t="s">
        <v>10</v>
      </c>
      <c r="D664" s="33"/>
      <c r="E664" s="33"/>
      <c r="F664" s="33" t="s">
        <v>51</v>
      </c>
      <c r="G664" s="36"/>
      <c r="H664" s="60" t="s">
        <v>1225</v>
      </c>
      <c r="I664" s="36"/>
      <c r="J664" s="36" t="s">
        <v>1226</v>
      </c>
      <c r="K664" s="60" t="str">
        <f t="shared" si="17"/>
        <v>State: A Team, a Triumph, a Transformation by Melissa Isaacson</v>
      </c>
    </row>
    <row r="665" outlineLevel="1">
      <c r="A665" s="30"/>
      <c r="B665" s="59" t="str">
        <f t="shared" si="16"/>
        <v>Station Eleven: A Novel (National Book Award Finalist)</v>
      </c>
      <c r="C665" s="32" t="s">
        <v>10</v>
      </c>
      <c r="D665" s="33"/>
      <c r="E665" s="33"/>
      <c r="F665" s="33" t="s">
        <v>51</v>
      </c>
      <c r="G665" s="36"/>
      <c r="H665" s="60" t="s">
        <v>1227</v>
      </c>
      <c r="I665" s="36"/>
      <c r="J665" s="36" t="s">
        <v>1228</v>
      </c>
      <c r="K665" s="60" t="str">
        <f t="shared" si="17"/>
        <v>Station Eleven: A Novel (National Book Award Finalist) by Emily St. John Mandel</v>
      </c>
    </row>
    <row r="666" outlineLevel="1">
      <c r="A666" s="30"/>
      <c r="B666" s="59" t="str">
        <f t="shared" si="16"/>
        <v>Stealing Fire: How Silicon Valley, the Navy SEALs, and Maverick Scientists Are Revolutionizing the Way We Live and Work</v>
      </c>
      <c r="C666" s="32" t="s">
        <v>10</v>
      </c>
      <c r="D666" s="33"/>
      <c r="E666" s="33"/>
      <c r="F666" s="33" t="s">
        <v>51</v>
      </c>
      <c r="G666" s="36"/>
      <c r="H666" s="60" t="s">
        <v>1229</v>
      </c>
      <c r="I666" s="36"/>
      <c r="J666" s="36" t="s">
        <v>1230</v>
      </c>
      <c r="K666" s="60" t="str">
        <f t="shared" si="17"/>
        <v>Stealing Fire: How Silicon Valley, the Navy SEALs, and Maverick Scientists Are Revolutionizing the Way We Live and Work by Steven Kotler, Jamie Wheal</v>
      </c>
    </row>
    <row r="667" outlineLevel="1">
      <c r="A667" s="30"/>
      <c r="B667" s="59" t="str">
        <f t="shared" si="16"/>
        <v>Still Life with Bread Crumbs: A Novel</v>
      </c>
      <c r="C667" s="32" t="s">
        <v>10</v>
      </c>
      <c r="D667" s="33"/>
      <c r="E667" s="33"/>
      <c r="F667" s="33" t="s">
        <v>51</v>
      </c>
      <c r="G667" s="36"/>
      <c r="H667" s="60" t="s">
        <v>1231</v>
      </c>
      <c r="I667" s="36"/>
      <c r="J667" s="36" t="s">
        <v>1232</v>
      </c>
      <c r="K667" s="60" t="str">
        <f t="shared" si="17"/>
        <v>Still Life with Bread Crumbs: A Novel by Anna Quindlen</v>
      </c>
    </row>
    <row r="668" outlineLevel="1">
      <c r="A668" s="30"/>
      <c r="B668" s="59" t="str">
        <f t="shared" si="16"/>
        <v>Still Missing: A Novel</v>
      </c>
      <c r="C668" s="32" t="s">
        <v>10</v>
      </c>
      <c r="D668" s="33"/>
      <c r="E668" s="33"/>
      <c r="F668" s="33" t="s">
        <v>51</v>
      </c>
      <c r="G668" s="36"/>
      <c r="H668" s="60" t="s">
        <v>1233</v>
      </c>
      <c r="I668" s="36"/>
      <c r="J668" s="36" t="s">
        <v>1234</v>
      </c>
      <c r="K668" s="60" t="str">
        <f t="shared" si="17"/>
        <v>Still Missing: A Novel by Chevy Stevens</v>
      </c>
    </row>
    <row r="669" outlineLevel="1">
      <c r="A669" s="30"/>
      <c r="B669" s="59" t="str">
        <f t="shared" si="16"/>
        <v>Stone Yard Devotional: A Novel</v>
      </c>
      <c r="C669" s="32" t="s">
        <v>10</v>
      </c>
      <c r="D669" s="33"/>
      <c r="E669" s="33"/>
      <c r="F669" s="33" t="s">
        <v>51</v>
      </c>
      <c r="G669" s="36"/>
      <c r="H669" s="60" t="s">
        <v>1235</v>
      </c>
      <c r="I669" s="36"/>
      <c r="J669" s="36" t="s">
        <v>1236</v>
      </c>
      <c r="K669" s="60" t="str">
        <f t="shared" si="17"/>
        <v>Stone Yard Devotional: A Novel by Charlotte Wood</v>
      </c>
    </row>
    <row r="670" outlineLevel="1">
      <c r="A670" s="30"/>
      <c r="B670" s="59" t="str">
        <f t="shared" si="16"/>
        <v>Stories of Your Life and Others</v>
      </c>
      <c r="C670" s="32" t="s">
        <v>10</v>
      </c>
      <c r="D670" s="33"/>
      <c r="E670" s="33"/>
      <c r="F670" s="33" t="s">
        <v>51</v>
      </c>
      <c r="G670" s="36"/>
      <c r="H670" s="60" t="s">
        <v>1237</v>
      </c>
      <c r="I670" s="36"/>
      <c r="J670" s="36" t="s">
        <v>1238</v>
      </c>
      <c r="K670" s="60" t="str">
        <f t="shared" si="17"/>
        <v>Stories of Your Life and Others by Ted Chiang</v>
      </c>
    </row>
    <row r="671" outlineLevel="1">
      <c r="A671" s="30"/>
      <c r="B671" s="59" t="str">
        <f t="shared" si="16"/>
        <v>Strange Justice: The Selling of Clarence Thomas</v>
      </c>
      <c r="C671" s="32" t="s">
        <v>10</v>
      </c>
      <c r="D671" s="33"/>
      <c r="E671" s="33"/>
      <c r="F671" s="33" t="s">
        <v>51</v>
      </c>
      <c r="G671" s="36"/>
      <c r="H671" s="60" t="s">
        <v>1239</v>
      </c>
      <c r="I671" s="36"/>
      <c r="J671" s="36" t="s">
        <v>1240</v>
      </c>
      <c r="K671" s="60" t="str">
        <f t="shared" si="17"/>
        <v>Strange Justice: The Selling of Clarence Thomas by Jane Mayer, Jill Abramson</v>
      </c>
    </row>
    <row r="672" outlineLevel="1">
      <c r="A672" s="30"/>
      <c r="B672" s="59" t="str">
        <f t="shared" si="16"/>
        <v>Submission: A Novel</v>
      </c>
      <c r="C672" s="32" t="s">
        <v>10</v>
      </c>
      <c r="D672" s="33"/>
      <c r="E672" s="33"/>
      <c r="F672" s="33" t="s">
        <v>51</v>
      </c>
      <c r="G672" s="36"/>
      <c r="H672" s="60" t="s">
        <v>1241</v>
      </c>
      <c r="I672" s="36"/>
      <c r="J672" s="36" t="s">
        <v>1242</v>
      </c>
      <c r="K672" s="60" t="str">
        <f t="shared" si="17"/>
        <v>Submission: A Novel by Michel Houellebecq, Lorin Stein</v>
      </c>
    </row>
    <row r="673" outlineLevel="1">
      <c r="A673" s="30"/>
      <c r="B673" s="59" t="str">
        <f t="shared" si="16"/>
        <v>Suicide Forest: A Gripping Psychological Thriller of Suspense and Terror (World's Scariest Places Book 1)</v>
      </c>
      <c r="C673" s="32" t="s">
        <v>10</v>
      </c>
      <c r="D673" s="33"/>
      <c r="E673" s="33"/>
      <c r="F673" s="33" t="s">
        <v>51</v>
      </c>
      <c r="G673" s="36"/>
      <c r="H673" s="60" t="s">
        <v>1243</v>
      </c>
      <c r="I673" s="36"/>
      <c r="J673" s="36" t="s">
        <v>1244</v>
      </c>
      <c r="K673" s="60" t="str">
        <f t="shared" si="17"/>
        <v>Suicide Forest: A Gripping Psychological Thriller of Suspense and Terror (World's Scariest Places Book 1) by Jeremy Bates</v>
      </c>
    </row>
    <row r="674" outlineLevel="1">
      <c r="A674" s="30"/>
      <c r="B674" s="59" t="str">
        <f t="shared" si="16"/>
        <v>Summerland</v>
      </c>
      <c r="C674" s="32" t="s">
        <v>10</v>
      </c>
      <c r="D674" s="33"/>
      <c r="E674" s="33"/>
      <c r="F674" s="33" t="s">
        <v>51</v>
      </c>
      <c r="G674" s="36"/>
      <c r="H674" s="60" t="s">
        <v>1245</v>
      </c>
      <c r="I674" s="36"/>
      <c r="J674" s="36" t="s">
        <v>1246</v>
      </c>
      <c r="K674" s="60" t="str">
        <f t="shared" si="17"/>
        <v>Summerland by Michael Chabon</v>
      </c>
    </row>
    <row r="675" outlineLevel="1">
      <c r="A675" s="30"/>
      <c r="B675" s="59" t="str">
        <f t="shared" si="16"/>
        <v>Super Simple Physics: The Ultimate Bitesize Study Guide</v>
      </c>
      <c r="C675" s="32" t="s">
        <v>22</v>
      </c>
      <c r="D675" s="33"/>
      <c r="E675" s="33"/>
      <c r="F675" s="33" t="s">
        <v>51</v>
      </c>
      <c r="G675" s="36"/>
      <c r="H675" s="60" t="s">
        <v>1247</v>
      </c>
      <c r="I675" s="36"/>
      <c r="J675" s="36" t="s">
        <v>1248</v>
      </c>
      <c r="K675" s="60" t="str">
        <f t="shared" si="17"/>
        <v>Super Simple Physics: The Ultimate Bitesize Study Guide by DK</v>
      </c>
    </row>
    <row r="676" outlineLevel="1">
      <c r="A676" s="30"/>
      <c r="B676" s="59" t="str">
        <f t="shared" si="16"/>
        <v>Supercommunicators: How to Unlock the Secret Language of Connection</v>
      </c>
      <c r="C676" s="32" t="s">
        <v>22</v>
      </c>
      <c r="D676" s="33"/>
      <c r="E676" s="33"/>
      <c r="F676" s="33" t="s">
        <v>51</v>
      </c>
      <c r="G676" s="36"/>
      <c r="H676" s="60" t="s">
        <v>1249</v>
      </c>
      <c r="I676" s="36"/>
      <c r="J676" s="36" t="s">
        <v>1250</v>
      </c>
      <c r="K676" s="60" t="str">
        <f t="shared" si="17"/>
        <v>Supercommunicators: How to Unlock the Secret Language of Connection by Charles Duhigg</v>
      </c>
    </row>
    <row r="677" outlineLevel="1">
      <c r="A677" s="30"/>
      <c r="B677" s="59" t="str">
        <f t="shared" si="16"/>
        <v>Superintelligence: Paths, Dangers, Strategies</v>
      </c>
      <c r="C677" s="32" t="s">
        <v>10</v>
      </c>
      <c r="D677" s="33"/>
      <c r="E677" s="33"/>
      <c r="F677" s="33" t="s">
        <v>51</v>
      </c>
      <c r="G677" s="36"/>
      <c r="H677" s="60" t="s">
        <v>1251</v>
      </c>
      <c r="I677" s="36"/>
      <c r="J677" s="36" t="s">
        <v>1252</v>
      </c>
      <c r="K677" s="60" t="str">
        <f t="shared" si="17"/>
        <v>Superintelligence: Paths, Dangers, Strategies by Nick Bostrom</v>
      </c>
    </row>
    <row r="678" outlineLevel="1">
      <c r="A678" s="30"/>
      <c r="B678" s="59" t="str">
        <f t="shared" si="16"/>
        <v>Superintelligence: Paths, Dangers, Strategies</v>
      </c>
      <c r="C678" s="32" t="s">
        <v>22</v>
      </c>
      <c r="D678" s="33"/>
      <c r="E678" s="33"/>
      <c r="F678" s="33" t="s">
        <v>51</v>
      </c>
      <c r="G678" s="36"/>
      <c r="H678" s="60" t="s">
        <v>1253</v>
      </c>
      <c r="I678" s="36"/>
      <c r="J678" s="36" t="s">
        <v>1252</v>
      </c>
      <c r="K678" s="60" t="str">
        <f t="shared" si="17"/>
        <v>Superintelligence: Paths, Dangers, Strategies by Nick Bostrom, Napoleon Ryan</v>
      </c>
    </row>
    <row r="679" outlineLevel="1">
      <c r="A679" s="30"/>
      <c r="B679" s="59" t="str">
        <f t="shared" si="16"/>
        <v>Surrounded</v>
      </c>
      <c r="C679" s="32" t="s">
        <v>22</v>
      </c>
      <c r="D679" s="33"/>
      <c r="E679" s="33"/>
      <c r="F679" s="33" t="s">
        <v>51</v>
      </c>
      <c r="G679" s="36"/>
      <c r="H679" s="60" t="s">
        <v>1254</v>
      </c>
      <c r="I679" s="36"/>
      <c r="J679" s="36" t="s">
        <v>1255</v>
      </c>
      <c r="K679" s="60" t="str">
        <f t="shared" si="17"/>
        <v>Surrounded by Idiots: The Four Types of Human Behavior and How to Effectively Communicate with Each in Business (and in Life)</v>
      </c>
    </row>
    <row r="680" outlineLevel="1">
      <c r="A680" s="30"/>
      <c r="B680" s="59" t="str">
        <f t="shared" si="16"/>
        <v>Sutton</v>
      </c>
      <c r="C680" s="32" t="s">
        <v>10</v>
      </c>
      <c r="D680" s="33"/>
      <c r="E680" s="33"/>
      <c r="F680" s="33" t="s">
        <v>51</v>
      </c>
      <c r="G680" s="36"/>
      <c r="H680" s="60" t="s">
        <v>1256</v>
      </c>
      <c r="I680" s="36"/>
      <c r="J680" s="36" t="s">
        <v>1257</v>
      </c>
      <c r="K680" s="60" t="str">
        <f t="shared" si="17"/>
        <v>Sutton by J. R. Moehringer</v>
      </c>
    </row>
    <row r="681" outlineLevel="1">
      <c r="A681" s="30"/>
      <c r="B681" s="59" t="str">
        <f t="shared" si="16"/>
        <v>Switch: How to Change Things When Change Is Hard</v>
      </c>
      <c r="C681" s="32" t="s">
        <v>10</v>
      </c>
      <c r="D681" s="33"/>
      <c r="E681" s="33"/>
      <c r="F681" s="33" t="s">
        <v>51</v>
      </c>
      <c r="G681" s="36"/>
      <c r="H681" s="60" t="s">
        <v>959</v>
      </c>
      <c r="I681" s="36"/>
      <c r="J681" s="36" t="s">
        <v>1258</v>
      </c>
      <c r="K681" s="60" t="str">
        <f t="shared" si="17"/>
        <v>Switch: How to Change Things When Change Is Hard by Chip Heath, Dan Heath</v>
      </c>
    </row>
    <row r="682" outlineLevel="1">
      <c r="A682" s="30"/>
      <c r="B682" s="59" t="str">
        <f t="shared" si="16"/>
        <v>Sycamore Row</v>
      </c>
      <c r="C682" s="32" t="s">
        <v>10</v>
      </c>
      <c r="D682" s="33"/>
      <c r="E682" s="33"/>
      <c r="F682" s="33" t="s">
        <v>51</v>
      </c>
      <c r="G682" s="36"/>
      <c r="H682" s="60" t="s">
        <v>1170</v>
      </c>
      <c r="I682" s="36"/>
      <c r="J682" s="36" t="s">
        <v>1259</v>
      </c>
      <c r="K682" s="60" t="str">
        <f t="shared" si="17"/>
        <v>Sycamore Row by John Grisham</v>
      </c>
    </row>
    <row r="683" outlineLevel="1">
      <c r="A683" s="30"/>
      <c r="B683" s="59" t="str">
        <f t="shared" si="16"/>
        <v>Systemantics, The Systems Bible</v>
      </c>
      <c r="C683" s="32" t="s">
        <v>10</v>
      </c>
      <c r="D683" s="33"/>
      <c r="E683" s="33"/>
      <c r="F683" s="33" t="s">
        <v>51</v>
      </c>
      <c r="G683" s="36"/>
      <c r="H683" s="60" t="s">
        <v>1260</v>
      </c>
      <c r="I683" s="36"/>
      <c r="J683" s="36" t="s">
        <v>1261</v>
      </c>
      <c r="K683" s="60" t="str">
        <f t="shared" si="17"/>
        <v>Systemantics, The Systems Bible by John Gall, D.H. Gall</v>
      </c>
    </row>
    <row r="684" outlineLevel="1">
      <c r="A684" s="30"/>
      <c r="B684" s="59" t="str">
        <f t="shared" si="16"/>
        <v>Take Me With You</v>
      </c>
      <c r="C684" s="32" t="s">
        <v>10</v>
      </c>
      <c r="D684" s="33"/>
      <c r="E684" s="33"/>
      <c r="F684" s="33" t="s">
        <v>51</v>
      </c>
      <c r="G684" s="36"/>
      <c r="H684" s="60" t="s">
        <v>1262</v>
      </c>
      <c r="I684" s="36"/>
      <c r="J684" s="36" t="s">
        <v>1263</v>
      </c>
      <c r="K684" s="60" t="str">
        <f t="shared" si="17"/>
        <v>Take Me With You by Catherine Ryan Hyde</v>
      </c>
    </row>
    <row r="685" outlineLevel="1">
      <c r="A685" s="30"/>
      <c r="B685" s="59" t="str">
        <f t="shared" si="16"/>
        <v>Tales of the South Pacific</v>
      </c>
      <c r="C685" s="32" t="s">
        <v>10</v>
      </c>
      <c r="D685" s="33"/>
      <c r="E685" s="33"/>
      <c r="F685" s="33" t="s">
        <v>51</v>
      </c>
      <c r="G685" s="36"/>
      <c r="H685" s="60" t="s">
        <v>1264</v>
      </c>
      <c r="I685" s="36"/>
      <c r="J685" s="36" t="s">
        <v>1265</v>
      </c>
      <c r="K685" s="60" t="str">
        <f t="shared" si="17"/>
        <v>Tales of the South Pacific by James A. Michener, Steve Berry</v>
      </c>
    </row>
    <row r="686" outlineLevel="1">
      <c r="A686" s="30"/>
      <c r="B686" s="59" t="str">
        <f t="shared" si="16"/>
        <v>Tap Dancing to Work: Warren Buffett on Practically Everything, 1966-2012: A Fortune Magazine Book</v>
      </c>
      <c r="C686" s="32" t="s">
        <v>10</v>
      </c>
      <c r="D686" s="33"/>
      <c r="E686" s="33"/>
      <c r="F686" s="33" t="s">
        <v>51</v>
      </c>
      <c r="G686" s="36"/>
      <c r="H686" s="60" t="s">
        <v>1266</v>
      </c>
      <c r="I686" s="36"/>
      <c r="J686" s="36" t="s">
        <v>1267</v>
      </c>
      <c r="K686" s="60" t="str">
        <f t="shared" si="17"/>
        <v>Tap Dancing to Work: Warren Buffett on Practically Everything, 1966-2012: A Fortune Magazine Book by Carol J. Loomis</v>
      </c>
    </row>
    <row r="687" outlineLevel="1">
      <c r="A687" s="30"/>
      <c r="B687" s="59" t="str">
        <f t="shared" si="16"/>
        <v>Teach Like a Champion 3.0: 63 Techniques that Put Students on the Path to College</v>
      </c>
      <c r="C687" s="32" t="s">
        <v>22</v>
      </c>
      <c r="D687" s="33"/>
      <c r="E687" s="33"/>
      <c r="F687" s="33" t="s">
        <v>51</v>
      </c>
      <c r="G687" s="36"/>
      <c r="H687" s="60" t="s">
        <v>1268</v>
      </c>
      <c r="I687" s="36"/>
      <c r="J687" s="36" t="s">
        <v>1269</v>
      </c>
      <c r="K687" s="60" t="str">
        <f t="shared" si="17"/>
        <v>Teach Like a Champion 3.0: 63 Techniques that Put Students on the Path to College by Doug Lemov, Michael Butler Murray</v>
      </c>
    </row>
    <row r="688" outlineLevel="1">
      <c r="A688" s="30"/>
      <c r="B688" s="59" t="str">
        <f t="shared" si="16"/>
        <v>Team of Teams: New Rules of Engagement for a Complex World</v>
      </c>
      <c r="C688" s="32" t="s">
        <v>10</v>
      </c>
      <c r="D688" s="33"/>
      <c r="E688" s="33"/>
      <c r="F688" s="33" t="s">
        <v>51</v>
      </c>
      <c r="G688" s="36"/>
      <c r="H688" s="60" t="s">
        <v>1270</v>
      </c>
      <c r="I688" s="36"/>
      <c r="J688" s="36" t="s">
        <v>1271</v>
      </c>
      <c r="K688" s="60" t="str">
        <f t="shared" si="17"/>
        <v>Team of Teams: New Rules of Engagement for a Complex World by General Stanley McChrystal, Tantum Collins</v>
      </c>
    </row>
    <row r="689" outlineLevel="1">
      <c r="A689" s="30"/>
      <c r="B689" s="59" t="str">
        <f t="shared" si="16"/>
        <v>Tender Is the Night (Cover May Vary)</v>
      </c>
      <c r="C689" s="32" t="s">
        <v>10</v>
      </c>
      <c r="D689" s="33"/>
      <c r="E689" s="33"/>
      <c r="F689" s="33" t="s">
        <v>51</v>
      </c>
      <c r="G689" s="36"/>
      <c r="H689" s="60" t="s">
        <v>1272</v>
      </c>
      <c r="I689" s="36"/>
      <c r="J689" s="36" t="s">
        <v>1273</v>
      </c>
      <c r="K689" s="60" t="str">
        <f t="shared" si="17"/>
        <v>Tender Is the Night (Cover May Vary) by F. Scott Fitzgerald</v>
      </c>
    </row>
    <row r="690" outlineLevel="1">
      <c r="A690" s="30"/>
      <c r="B690" s="59" t="str">
        <f t="shared" si="16"/>
        <v>Tesla: Inventor of the Modern</v>
      </c>
      <c r="C690" s="32" t="s">
        <v>22</v>
      </c>
      <c r="D690" s="33"/>
      <c r="E690" s="33"/>
      <c r="F690" s="33" t="s">
        <v>51</v>
      </c>
      <c r="G690" s="36"/>
      <c r="H690" s="60" t="s">
        <v>1274</v>
      </c>
      <c r="I690" s="36"/>
      <c r="J690" s="36" t="s">
        <v>1275</v>
      </c>
      <c r="K690" s="60" t="str">
        <f t="shared" si="17"/>
        <v>Tesla: Inventor of the Modern by Richard Munson</v>
      </c>
    </row>
    <row r="691" outlineLevel="1">
      <c r="A691" s="30"/>
      <c r="B691" s="59" t="str">
        <f t="shared" si="16"/>
        <v>Thank You for Being Late: An Optimist's Guide to Thriving in the Age of Accelerations</v>
      </c>
      <c r="C691" s="32" t="s">
        <v>10</v>
      </c>
      <c r="D691" s="33"/>
      <c r="E691" s="33"/>
      <c r="F691" s="33" t="s">
        <v>51</v>
      </c>
      <c r="G691" s="36"/>
      <c r="H691" s="60" t="s">
        <v>1276</v>
      </c>
      <c r="I691" s="36"/>
      <c r="J691" s="36" t="s">
        <v>1277</v>
      </c>
      <c r="K691" s="60" t="str">
        <f t="shared" si="17"/>
        <v>Thank You for Being Late: An Optimist's Guide to Thriving in the Age of Accelerations by Thomas L. Friedman</v>
      </c>
    </row>
    <row r="692" outlineLevel="1">
      <c r="A692" s="30"/>
      <c r="B692" s="59" t="str">
        <f t="shared" si="16"/>
        <v>Thank You for Your Service</v>
      </c>
      <c r="C692" s="32" t="s">
        <v>10</v>
      </c>
      <c r="D692" s="33"/>
      <c r="E692" s="33"/>
      <c r="F692" s="33" t="s">
        <v>51</v>
      </c>
      <c r="G692" s="36"/>
      <c r="H692" s="60" t="s">
        <v>742</v>
      </c>
      <c r="I692" s="36"/>
      <c r="J692" s="36" t="s">
        <v>1278</v>
      </c>
      <c r="K692" s="60" t="str">
        <f t="shared" si="17"/>
        <v>Thank You for Your Service by David Finkel</v>
      </c>
    </row>
    <row r="693" outlineLevel="1">
      <c r="A693" s="30"/>
      <c r="B693" s="59" t="str">
        <f t="shared" si="16"/>
        <v>That Month in Tuscany (Take Me There)</v>
      </c>
      <c r="C693" s="32" t="s">
        <v>10</v>
      </c>
      <c r="D693" s="33"/>
      <c r="E693" s="33"/>
      <c r="F693" s="33" t="s">
        <v>51</v>
      </c>
      <c r="G693" s="36"/>
      <c r="H693" s="60" t="s">
        <v>1279</v>
      </c>
      <c r="I693" s="36"/>
      <c r="J693" s="36" t="s">
        <v>1280</v>
      </c>
      <c r="K693" s="60" t="str">
        <f t="shared" si="17"/>
        <v>That Month in Tuscany (Take Me There) by Inglath Cooper</v>
      </c>
    </row>
    <row r="694" outlineLevel="1">
      <c r="A694" s="30"/>
      <c r="B694" s="59" t="str">
        <f t="shared" si="16"/>
        <v>That Old Cape Magic: A Novel</v>
      </c>
      <c r="C694" s="32" t="s">
        <v>10</v>
      </c>
      <c r="D694" s="33"/>
      <c r="E694" s="33"/>
      <c r="F694" s="33" t="s">
        <v>51</v>
      </c>
      <c r="G694" s="36"/>
      <c r="H694" s="60" t="s">
        <v>1281</v>
      </c>
      <c r="I694" s="36"/>
      <c r="J694" s="36" t="s">
        <v>1282</v>
      </c>
      <c r="K694" s="60" t="str">
        <f t="shared" si="17"/>
        <v>That Old Cape Magic: A Novel by Richard Russo</v>
      </c>
    </row>
    <row r="695" outlineLevel="1">
      <c r="A695" s="30"/>
      <c r="B695" s="59" t="str">
        <f t="shared" si="16"/>
        <v>The 100-Year Life: Living and Working in an Age of Longevity</v>
      </c>
      <c r="C695" s="32" t="s">
        <v>10</v>
      </c>
      <c r="D695" s="33"/>
      <c r="E695" s="33"/>
      <c r="F695" s="33" t="s">
        <v>51</v>
      </c>
      <c r="G695" s="36"/>
      <c r="H695" s="60" t="s">
        <v>1283</v>
      </c>
      <c r="I695" s="36"/>
      <c r="J695" s="36" t="s">
        <v>1284</v>
      </c>
      <c r="K695" s="60" t="str">
        <f t="shared" si="17"/>
        <v>The 100-Year Life: Living and Working in an Age of Longevity by Lynda Gratton, Andrew Scott</v>
      </c>
    </row>
    <row r="696" outlineLevel="1">
      <c r="A696" s="30"/>
      <c r="B696" s="59" t="str">
        <f t="shared" si="16"/>
        <v>The 5 Types of Wealth: A Transformative Guide to Design Your Dream Life</v>
      </c>
      <c r="C696" s="32" t="s">
        <v>22</v>
      </c>
      <c r="D696" s="33"/>
      <c r="E696" s="33"/>
      <c r="F696" s="33" t="s">
        <v>51</v>
      </c>
      <c r="G696" s="36"/>
      <c r="H696" s="60" t="s">
        <v>1285</v>
      </c>
      <c r="I696" s="36"/>
      <c r="J696" s="36" t="s">
        <v>1286</v>
      </c>
      <c r="K696" s="60" t="str">
        <f t="shared" si="17"/>
        <v>The 5 Types of Wealth: A Transformative Guide to Design Your Dream Life by Sahil Bloom</v>
      </c>
    </row>
    <row r="697" outlineLevel="1">
      <c r="A697" s="30"/>
      <c r="B697" s="59" t="str">
        <f t="shared" si="16"/>
        <v>The 7 1/2 Deaths of Evelyn Hardcastle</v>
      </c>
      <c r="C697" s="32" t="s">
        <v>10</v>
      </c>
      <c r="D697" s="33"/>
      <c r="E697" s="33"/>
      <c r="F697" s="33" t="s">
        <v>51</v>
      </c>
      <c r="G697" s="36"/>
      <c r="H697" s="60" t="s">
        <v>1287</v>
      </c>
      <c r="I697" s="36"/>
      <c r="J697" s="36" t="s">
        <v>1288</v>
      </c>
      <c r="K697" s="60" t="str">
        <f t="shared" si="17"/>
        <v>The 7 1/2 Deaths of Evelyn Hardcastle by Stuart Turton</v>
      </c>
    </row>
    <row r="698" outlineLevel="1">
      <c r="A698" s="30"/>
      <c r="B698" s="59" t="str">
        <f t="shared" si="16"/>
        <v>The Absolutely True Diary of a Part-Time Indian</v>
      </c>
      <c r="C698" s="32" t="s">
        <v>10</v>
      </c>
      <c r="D698" s="33"/>
      <c r="E698" s="33"/>
      <c r="F698" s="33" t="s">
        <v>51</v>
      </c>
      <c r="G698" s="36" t="s">
        <v>1289</v>
      </c>
      <c r="H698" s="60" t="s">
        <v>479</v>
      </c>
      <c r="I698" s="36"/>
      <c r="J698" s="36" t="s">
        <v>1290</v>
      </c>
      <c r="K698" s="60" t="str">
        <f t="shared" si="17"/>
        <v>The Absolutely True Diary of a Part-Time Indian by Sherman Alexie</v>
      </c>
    </row>
    <row r="699" outlineLevel="1">
      <c r="A699" s="30"/>
      <c r="B699" s="59" t="str">
        <f t="shared" si="16"/>
        <v>The Abyss Beyond Dreams: A Novel of the Commonwealth</v>
      </c>
      <c r="C699" s="32" t="s">
        <v>10</v>
      </c>
      <c r="D699" s="33"/>
      <c r="E699" s="33"/>
      <c r="F699" s="33" t="s">
        <v>51</v>
      </c>
      <c r="G699" s="36" t="s">
        <v>1291</v>
      </c>
      <c r="H699" s="60" t="s">
        <v>1292</v>
      </c>
      <c r="I699" s="36"/>
      <c r="J699" s="36" t="s">
        <v>1293</v>
      </c>
      <c r="K699" s="60" t="str">
        <f t="shared" si="17"/>
        <v>The Abyss Beyond Dreams: A Novel of the Commonwealth by Peter F. Hamilton</v>
      </c>
    </row>
    <row r="700" outlineLevel="1">
      <c r="A700" s="30"/>
      <c r="B700" s="59" t="str">
        <f t="shared" si="16"/>
        <v>The Accident</v>
      </c>
      <c r="C700" s="32" t="s">
        <v>10</v>
      </c>
      <c r="D700" s="33"/>
      <c r="E700" s="33"/>
      <c r="F700" s="33" t="s">
        <v>51</v>
      </c>
      <c r="G700" s="36"/>
      <c r="H700" s="60" t="s">
        <v>1294</v>
      </c>
      <c r="I700" s="36"/>
      <c r="J700" s="36" t="s">
        <v>1295</v>
      </c>
      <c r="K700" s="60" t="str">
        <f t="shared" si="17"/>
        <v>The Accident by Chris Pavone</v>
      </c>
    </row>
    <row r="701" outlineLevel="1">
      <c r="A701" s="30"/>
      <c r="B701" s="59" t="str">
        <f t="shared" si="16"/>
        <v>The AI Revolution in Medicine: GPT-4 and Beyond</v>
      </c>
      <c r="C701" s="32" t="s">
        <v>22</v>
      </c>
      <c r="D701" s="33"/>
      <c r="E701" s="33"/>
      <c r="F701" s="33" t="s">
        <v>51</v>
      </c>
      <c r="G701" s="36"/>
      <c r="H701" s="60" t="s">
        <v>1296</v>
      </c>
      <c r="I701" s="36"/>
      <c r="J701" s="36" t="s">
        <v>1297</v>
      </c>
      <c r="K701" s="60" t="str">
        <f t="shared" si="17"/>
        <v>The AI Revolution in Medicine: GPT-4 and Beyond by Peter Lee, Carey Goldberg</v>
      </c>
    </row>
    <row r="702" outlineLevel="1">
      <c r="A702" s="30"/>
      <c r="B702" s="59" t="str">
        <f t="shared" si="16"/>
        <v>The Alchemist</v>
      </c>
      <c r="C702" s="32" t="s">
        <v>10</v>
      </c>
      <c r="D702" s="33"/>
      <c r="E702" s="33"/>
      <c r="F702" s="33" t="s">
        <v>51</v>
      </c>
      <c r="G702" s="36"/>
      <c r="H702" s="60" t="s">
        <v>1298</v>
      </c>
      <c r="I702" s="36"/>
      <c r="J702" s="36" t="s">
        <v>1299</v>
      </c>
      <c r="K702" s="60" t="str">
        <f t="shared" si="17"/>
        <v>The Alchemist by Paulo Coelho, Alan R. Clarke</v>
      </c>
    </row>
    <row r="703" outlineLevel="1">
      <c r="A703" s="30"/>
      <c r="B703" s="59" t="str">
        <f t="shared" si="16"/>
        <v>The Alchemist: A Modern Classic of Magic and Mysticism</v>
      </c>
      <c r="C703" s="32" t="s">
        <v>10</v>
      </c>
      <c r="D703" s="33"/>
      <c r="E703" s="33"/>
      <c r="F703" s="33" t="s">
        <v>51</v>
      </c>
      <c r="G703" s="36"/>
      <c r="H703" s="60" t="s">
        <v>496</v>
      </c>
      <c r="I703" s="36"/>
      <c r="J703" s="36" t="s">
        <v>1300</v>
      </c>
      <c r="K703" s="60" t="str">
        <f t="shared" si="17"/>
        <v>The Alchemist: A Modern Classic of Magic and Mysticism by Paulo Coelho</v>
      </c>
    </row>
    <row r="704" outlineLevel="1">
      <c r="A704" s="30"/>
      <c r="B704" s="59" t="str">
        <f t="shared" si="16"/>
        <v>The Algebra of Happiness: Notes on the Pursuit of Success, Love, and Meaning</v>
      </c>
      <c r="C704" s="32" t="s">
        <v>10</v>
      </c>
      <c r="D704" s="33"/>
      <c r="E704" s="33"/>
      <c r="F704" s="33" t="s">
        <v>51</v>
      </c>
      <c r="G704" s="36"/>
      <c r="H704" s="60" t="s">
        <v>1301</v>
      </c>
      <c r="I704" s="36"/>
      <c r="J704" s="36" t="s">
        <v>1302</v>
      </c>
      <c r="K704" s="60" t="str">
        <f t="shared" si="17"/>
        <v>The Algebra of Happiness: Notes on the Pursuit of Success, Love, and Meaning by Scott Galloway</v>
      </c>
    </row>
    <row r="705" outlineLevel="1">
      <c r="A705" s="30"/>
      <c r="B705" s="59" t="str">
        <f t="shared" si="16"/>
        <v>The Alice Network: A Novel</v>
      </c>
      <c r="C705" s="32" t="s">
        <v>10</v>
      </c>
      <c r="D705" s="33"/>
      <c r="E705" s="33"/>
      <c r="F705" s="33" t="s">
        <v>51</v>
      </c>
      <c r="G705" s="36"/>
      <c r="H705" s="60" t="s">
        <v>1303</v>
      </c>
      <c r="I705" s="36"/>
      <c r="J705" s="36" t="s">
        <v>1304</v>
      </c>
      <c r="K705" s="60" t="str">
        <f t="shared" si="17"/>
        <v>The Alice Network: A Novel by Saskia Maarleveld, Kate Quinn</v>
      </c>
    </row>
    <row r="706" outlineLevel="1">
      <c r="A706" s="30"/>
      <c r="B706" s="59" t="str">
        <f t="shared" si="16"/>
        <v>The Alliance: Managing Talent in the Networked Age</v>
      </c>
      <c r="C706" s="32" t="s">
        <v>10</v>
      </c>
      <c r="D706" s="33"/>
      <c r="E706" s="33"/>
      <c r="F706" s="33" t="s">
        <v>51</v>
      </c>
      <c r="G706" s="36"/>
      <c r="H706" s="60" t="s">
        <v>1305</v>
      </c>
      <c r="I706" s="36"/>
      <c r="J706" s="36" t="s">
        <v>1306</v>
      </c>
      <c r="K706" s="60" t="str">
        <f t="shared" si="17"/>
        <v>The Alliance: Managing Talent in the Networked Age by Reid Hoffman, Ben Casnocha</v>
      </c>
    </row>
    <row r="707" outlineLevel="1">
      <c r="A707" s="30"/>
      <c r="B707" s="59" t="str">
        <f t="shared" si="16"/>
        <v>The Amazing Adventures of Kavalier &amp; Clay</v>
      </c>
      <c r="C707" s="32" t="s">
        <v>10</v>
      </c>
      <c r="D707" s="33"/>
      <c r="E707" s="33"/>
      <c r="F707" s="33" t="s">
        <v>51</v>
      </c>
      <c r="G707" s="36"/>
      <c r="H707" s="60" t="s">
        <v>1245</v>
      </c>
      <c r="I707" s="36"/>
      <c r="J707" s="36" t="s">
        <v>1307</v>
      </c>
      <c r="K707" s="60" t="str">
        <f t="shared" si="17"/>
        <v>The Amazing Adventures of Kavalier &amp; Clay by Michael Chabon</v>
      </c>
    </row>
    <row r="708" outlineLevel="1">
      <c r="A708" s="30"/>
      <c r="B708" s="59" t="str">
        <f t="shared" si="16"/>
        <v>The American Way of War: A History of United States Military Strategy and Policy</v>
      </c>
      <c r="C708" s="32" t="s">
        <v>10</v>
      </c>
      <c r="D708" s="33"/>
      <c r="E708" s="33"/>
      <c r="F708" s="33" t="s">
        <v>51</v>
      </c>
      <c r="G708" s="36"/>
      <c r="H708" s="60" t="s">
        <v>1308</v>
      </c>
      <c r="I708" s="36"/>
      <c r="J708" s="36" t="s">
        <v>1309</v>
      </c>
      <c r="K708" s="60" t="str">
        <f t="shared" si="17"/>
        <v>The American Way of War: A History of United States Military Strategy and Policy by Russell F. Weigley</v>
      </c>
    </row>
    <row r="709" outlineLevel="1">
      <c r="A709" s="30"/>
      <c r="B709" s="59" t="str">
        <f t="shared" si="16"/>
        <v>The Anomaly: A Novel</v>
      </c>
      <c r="C709" s="32" t="s">
        <v>10</v>
      </c>
      <c r="D709" s="33"/>
      <c r="E709" s="33"/>
      <c r="F709" s="33" t="s">
        <v>51</v>
      </c>
      <c r="G709" s="36"/>
      <c r="H709" s="60" t="s">
        <v>1310</v>
      </c>
      <c r="I709" s="36"/>
      <c r="J709" s="36" t="s">
        <v>1311</v>
      </c>
      <c r="K709" s="60" t="str">
        <f t="shared" si="17"/>
        <v>The Anomaly: A Novel by Hervé Le Tellier, Adriana Hunter</v>
      </c>
    </row>
    <row r="710" outlineLevel="1">
      <c r="A710" s="30"/>
      <c r="B710" s="59" t="str">
        <f t="shared" si="16"/>
        <v>The Anxious Generation: How the Great Rewiring of Childhood Is Causing an Epidemic of Mental Illness</v>
      </c>
      <c r="C710" s="32" t="s">
        <v>22</v>
      </c>
      <c r="D710" s="33"/>
      <c r="E710" s="33"/>
      <c r="F710" s="33" t="s">
        <v>51</v>
      </c>
      <c r="G710" s="36"/>
      <c r="H710" s="60" t="s">
        <v>1312</v>
      </c>
      <c r="I710" s="36"/>
      <c r="J710" s="36" t="s">
        <v>1313</v>
      </c>
      <c r="K710" s="60" t="str">
        <f t="shared" si="17"/>
        <v>The Anxious Generation: How the Great Rewiring of Childhood Is Causing an Epidemic of Mental Illness by Jonathan Haidt, Sean Pratt</v>
      </c>
    </row>
    <row r="711" outlineLevel="1">
      <c r="A711" s="30"/>
      <c r="B711" s="59" t="str">
        <f t="shared" si="16"/>
        <v>The Archive of Alternate Endings</v>
      </c>
      <c r="C711" s="32" t="s">
        <v>10</v>
      </c>
      <c r="D711" s="33"/>
      <c r="E711" s="33"/>
      <c r="F711" s="33" t="s">
        <v>51</v>
      </c>
      <c r="G711" s="36"/>
      <c r="H711" s="60" t="s">
        <v>1314</v>
      </c>
      <c r="I711" s="36"/>
      <c r="J711" s="36" t="s">
        <v>1315</v>
      </c>
      <c r="K711" s="60" t="str">
        <f t="shared" si="17"/>
        <v>The Archive of Alternate Endings by Lindsey Drager</v>
      </c>
    </row>
    <row r="712" outlineLevel="1">
      <c r="A712" s="30"/>
      <c r="B712" s="59" t="str">
        <f t="shared" si="16"/>
        <v>The Argonauts</v>
      </c>
      <c r="C712" s="32" t="s">
        <v>10</v>
      </c>
      <c r="D712" s="33"/>
      <c r="E712" s="33"/>
      <c r="F712" s="33" t="s">
        <v>51</v>
      </c>
      <c r="G712" s="36"/>
      <c r="H712" s="60" t="s">
        <v>1316</v>
      </c>
      <c r="I712" s="36"/>
      <c r="J712" s="36" t="s">
        <v>1317</v>
      </c>
      <c r="K712" s="60" t="str">
        <f t="shared" si="17"/>
        <v>The Argonauts by Maggie Nelson</v>
      </c>
    </row>
    <row r="713" outlineLevel="1">
      <c r="A713" s="30"/>
      <c r="B713" s="59" t="str">
        <f t="shared" si="16"/>
        <v>The Art Forger: A Novel</v>
      </c>
      <c r="C713" s="32" t="s">
        <v>10</v>
      </c>
      <c r="D713" s="33"/>
      <c r="E713" s="33"/>
      <c r="F713" s="33" t="s">
        <v>51</v>
      </c>
      <c r="G713" s="36"/>
      <c r="H713" s="60" t="s">
        <v>1318</v>
      </c>
      <c r="I713" s="36"/>
      <c r="J713" s="36" t="s">
        <v>1319</v>
      </c>
      <c r="K713" s="60" t="str">
        <f t="shared" si="17"/>
        <v>The Art Forger: A Novel by B. A. Shapiro</v>
      </c>
    </row>
    <row r="714" outlineLevel="1">
      <c r="A714" s="30"/>
      <c r="B714" s="59" t="str">
        <f t="shared" si="16"/>
        <v>The Art of Hearing Heartbeats: A Novel</v>
      </c>
      <c r="C714" s="32" t="s">
        <v>10</v>
      </c>
      <c r="D714" s="33"/>
      <c r="E714" s="33"/>
      <c r="F714" s="33" t="s">
        <v>51</v>
      </c>
      <c r="G714" s="36"/>
      <c r="H714" s="60" t="s">
        <v>1320</v>
      </c>
      <c r="I714" s="36"/>
      <c r="J714" s="36" t="s">
        <v>1321</v>
      </c>
      <c r="K714" s="60" t="str">
        <f t="shared" si="17"/>
        <v>The Art of Hearing Heartbeats: A Novel by Jan-Philipp Sendker, Kevin Wiliarty</v>
      </c>
    </row>
    <row r="715" outlineLevel="1">
      <c r="A715" s="30"/>
      <c r="B715" s="59" t="str">
        <f t="shared" si="16"/>
        <v>The Art of Living: A Guide to Mindfulness, Personal Growth, and Peace with Transformative Meditations for Understanding Life's Deepest Questions and Experiencing Happiness and Freedom</v>
      </c>
      <c r="C715" s="32" t="s">
        <v>22</v>
      </c>
      <c r="D715" s="33"/>
      <c r="E715" s="33"/>
      <c r="F715" s="33" t="s">
        <v>51</v>
      </c>
      <c r="G715" s="36"/>
      <c r="H715" s="60" t="s">
        <v>1322</v>
      </c>
      <c r="I715" s="36"/>
      <c r="J715" s="36" t="s">
        <v>1323</v>
      </c>
      <c r="K715" s="60" t="str">
        <f t="shared" si="17"/>
        <v>The Art of Living: A Guide to Mindfulness, Personal Growth, and Peace with Transformative Meditations for Understanding Life's Deepest Questions and Experiencing Happiness and Freedom by Thich Nhat Hanh</v>
      </c>
    </row>
    <row r="716" outlineLevel="1">
      <c r="A716" s="30"/>
      <c r="B716" s="59" t="str">
        <f t="shared" si="16"/>
        <v>The Art of Photography: An Approach to Personal Expression</v>
      </c>
      <c r="C716" s="32" t="s">
        <v>10</v>
      </c>
      <c r="D716" s="33"/>
      <c r="E716" s="33"/>
      <c r="F716" s="33" t="s">
        <v>51</v>
      </c>
      <c r="G716" s="36"/>
      <c r="H716" s="60" t="s">
        <v>1324</v>
      </c>
      <c r="I716" s="36"/>
      <c r="J716" s="36" t="s">
        <v>1325</v>
      </c>
      <c r="K716" s="60" t="str">
        <f t="shared" si="17"/>
        <v>The Art of Photography: An Approach to Personal Expression by Bruce Barnbaum</v>
      </c>
    </row>
    <row r="717" outlineLevel="1">
      <c r="A717" s="30"/>
      <c r="B717" s="59" t="str">
        <f t="shared" si="16"/>
        <v>The Art of Talking with Children: The Simple Keys to Nurturing Kindness, Creativity, and Confidence in Kids</v>
      </c>
      <c r="C717" s="32" t="s">
        <v>10</v>
      </c>
      <c r="D717" s="33"/>
      <c r="E717" s="33"/>
      <c r="F717" s="33" t="s">
        <v>51</v>
      </c>
      <c r="G717" s="36"/>
      <c r="H717" s="60" t="s">
        <v>1326</v>
      </c>
      <c r="I717" s="36"/>
      <c r="J717" s="36" t="s">
        <v>1327</v>
      </c>
      <c r="K717" s="60" t="str">
        <f t="shared" si="17"/>
        <v>The Art of Talking with Children: The Simple Keys to Nurturing Kindness, Creativity, and Confidence in Kids by Rebecca Rolland</v>
      </c>
    </row>
    <row r="718" outlineLevel="1">
      <c r="A718" s="30"/>
      <c r="B718" s="59" t="str">
        <f t="shared" si="16"/>
        <v>The Art of Uncertainty: How to Navigate Chance, Ignorance, Risk and Luck</v>
      </c>
      <c r="C718" s="32" t="s">
        <v>22</v>
      </c>
      <c r="D718" s="33"/>
      <c r="E718" s="33"/>
      <c r="F718" s="33" t="s">
        <v>51</v>
      </c>
      <c r="G718" s="36"/>
      <c r="H718" s="60" t="s">
        <v>1328</v>
      </c>
      <c r="I718" s="36"/>
      <c r="J718" s="36" t="s">
        <v>1329</v>
      </c>
      <c r="K718" s="60" t="str">
        <f t="shared" si="17"/>
        <v>The Art of Uncertainty: How to Navigate Chance, Ignorance, Risk and Luck by David Spiegelhalter</v>
      </c>
    </row>
    <row r="719" outlineLevel="1">
      <c r="A719" s="30"/>
      <c r="B719" s="59" t="str">
        <f t="shared" si="16"/>
        <v>The Art of War: War and Military Thought</v>
      </c>
      <c r="C719" s="32" t="s">
        <v>10</v>
      </c>
      <c r="D719" s="33"/>
      <c r="E719" s="33"/>
      <c r="F719" s="33" t="s">
        <v>51</v>
      </c>
      <c r="G719" s="36"/>
      <c r="H719" s="60" t="s">
        <v>1330</v>
      </c>
      <c r="I719" s="36"/>
      <c r="J719" s="36" t="s">
        <v>1331</v>
      </c>
      <c r="K719" s="60" t="str">
        <f t="shared" si="17"/>
        <v>The Art of War: War and Military Thought by Martin Van Creveld</v>
      </c>
    </row>
    <row r="720" outlineLevel="1">
      <c r="A720" s="30"/>
      <c r="B720" s="59" t="str">
        <f t="shared" si="16"/>
        <v>The Art Thief: A True Story of Love, Crime, and a Dangerous Obsession</v>
      </c>
      <c r="C720" s="32" t="s">
        <v>22</v>
      </c>
      <c r="D720" s="33"/>
      <c r="E720" s="33"/>
      <c r="F720" s="33" t="s">
        <v>51</v>
      </c>
      <c r="G720" s="36"/>
      <c r="H720" s="60" t="s">
        <v>1332</v>
      </c>
      <c r="I720" s="36"/>
      <c r="J720" s="36" t="s">
        <v>1333</v>
      </c>
      <c r="K720" s="60" t="str">
        <f t="shared" si="17"/>
        <v>The Art Thief: A True Story of Love, Crime, and a Dangerous Obsession by Edoardo Ballerini, Michael Finkel</v>
      </c>
    </row>
    <row r="721" outlineLevel="1">
      <c r="A721" s="30"/>
      <c r="B721" s="59" t="str">
        <f t="shared" si="16"/>
        <v>The Association of Small Bombs: A Novel</v>
      </c>
      <c r="C721" s="32" t="s">
        <v>10</v>
      </c>
      <c r="D721" s="33"/>
      <c r="E721" s="33"/>
      <c r="F721" s="33" t="s">
        <v>51</v>
      </c>
      <c r="G721" s="36"/>
      <c r="H721" s="60" t="s">
        <v>1334</v>
      </c>
      <c r="I721" s="36"/>
      <c r="J721" s="36" t="s">
        <v>1335</v>
      </c>
      <c r="K721" s="60" t="str">
        <f t="shared" si="17"/>
        <v>The Association of Small Bombs: A Novel by Karan Mahajan</v>
      </c>
    </row>
    <row r="722" outlineLevel="1">
      <c r="A722" s="30"/>
      <c r="B722" s="59" t="str">
        <f t="shared" si="16"/>
        <v>The Backyard Bird Chronicles</v>
      </c>
      <c r="C722" s="32" t="s">
        <v>22</v>
      </c>
      <c r="D722" s="33"/>
      <c r="E722" s="33"/>
      <c r="F722" s="33" t="s">
        <v>51</v>
      </c>
      <c r="G722" s="36"/>
      <c r="H722" s="60" t="s">
        <v>1336</v>
      </c>
      <c r="I722" s="36"/>
      <c r="J722" s="36" t="s">
        <v>1337</v>
      </c>
      <c r="K722" s="60" t="str">
        <f t="shared" si="17"/>
        <v>The Backyard Bird Chronicles by Amy Tan, David Allen Sibley</v>
      </c>
    </row>
    <row r="723" outlineLevel="1">
      <c r="A723" s="30"/>
      <c r="B723" s="59" t="str">
        <f t="shared" si="16"/>
        <v>The Beautiful Mystery</v>
      </c>
      <c r="C723" s="32" t="s">
        <v>10</v>
      </c>
      <c r="D723" s="33"/>
      <c r="E723" s="33"/>
      <c r="F723" s="33" t="s">
        <v>51</v>
      </c>
      <c r="G723" s="36" t="s">
        <v>1338</v>
      </c>
      <c r="H723" s="60" t="s">
        <v>1339</v>
      </c>
      <c r="I723" s="36"/>
      <c r="J723" s="36" t="s">
        <v>1340</v>
      </c>
      <c r="K723" s="60" t="str">
        <f t="shared" si="17"/>
        <v>The Beautiful Mystery by Louise Penny</v>
      </c>
    </row>
    <row r="724" outlineLevel="1">
      <c r="A724" s="30"/>
      <c r="B724" s="59" t="str">
        <f t="shared" si="16"/>
        <v>The Best American Essays 2013</v>
      </c>
      <c r="C724" s="32" t="s">
        <v>10</v>
      </c>
      <c r="D724" s="33"/>
      <c r="E724" s="33"/>
      <c r="F724" s="33" t="s">
        <v>51</v>
      </c>
      <c r="G724" s="36"/>
      <c r="H724" s="60" t="s">
        <v>1341</v>
      </c>
      <c r="I724" s="36"/>
      <c r="J724" s="36" t="s">
        <v>1342</v>
      </c>
      <c r="K724" s="60" t="str">
        <f t="shared" si="17"/>
        <v>The Best American Essays 2013 by Robert Atwan, Cheryl Strayed</v>
      </c>
    </row>
    <row r="725" outlineLevel="1">
      <c r="A725" s="30"/>
      <c r="B725" s="59" t="str">
        <f t="shared" si="16"/>
        <v>The Best American Mystery Stories 2013: A Curated Literary Collection of Crime Books, Mysteries, and Thrillers</v>
      </c>
      <c r="C725" s="32" t="s">
        <v>10</v>
      </c>
      <c r="D725" s="33"/>
      <c r="E725" s="33"/>
      <c r="F725" s="33" t="s">
        <v>51</v>
      </c>
      <c r="G725" s="36"/>
      <c r="H725" s="60" t="s">
        <v>566</v>
      </c>
      <c r="I725" s="36"/>
      <c r="J725" s="36" t="s">
        <v>1343</v>
      </c>
      <c r="K725" s="60" t="str">
        <f t="shared" si="17"/>
        <v>The Best American Mystery Stories 2013: A Curated Literary Collection of Crime Books, Mysteries, and Thrillers by Lisa Scottoline</v>
      </c>
    </row>
    <row r="726" outlineLevel="1">
      <c r="A726" s="30"/>
      <c r="B726" s="59" t="str">
        <f t="shared" si="16"/>
        <v>The Best American Short Stories 2013</v>
      </c>
      <c r="C726" s="32" t="s">
        <v>10</v>
      </c>
      <c r="D726" s="33"/>
      <c r="E726" s="33"/>
      <c r="F726" s="33" t="s">
        <v>51</v>
      </c>
      <c r="G726" s="36"/>
      <c r="H726" s="60" t="s">
        <v>1344</v>
      </c>
      <c r="I726" s="36"/>
      <c r="J726" s="36" t="s">
        <v>1345</v>
      </c>
      <c r="K726" s="60" t="str">
        <f t="shared" si="17"/>
        <v>The Best American Short Stories 2013 by Elizabeth Strout, Heidi Pitlor</v>
      </c>
    </row>
    <row r="727" outlineLevel="1">
      <c r="A727" s="30"/>
      <c r="B727" s="59" t="str">
        <f t="shared" si="16"/>
        <v>The Best American Short Stories 2021</v>
      </c>
      <c r="C727" s="32" t="s">
        <v>10</v>
      </c>
      <c r="D727" s="33"/>
      <c r="E727" s="33"/>
      <c r="F727" s="33" t="s">
        <v>51</v>
      </c>
      <c r="G727" s="36"/>
      <c r="H727" s="60" t="s">
        <v>1346</v>
      </c>
      <c r="I727" s="36"/>
      <c r="J727" s="36" t="s">
        <v>1347</v>
      </c>
      <c r="K727" s="60" t="str">
        <f t="shared" si="17"/>
        <v>The Best American Short Stories 2021 by Jesmyn Ward, Heidi Pitlor</v>
      </c>
    </row>
    <row r="728" outlineLevel="1">
      <c r="A728" s="30"/>
      <c r="B728" s="59" t="str">
        <f t="shared" si="16"/>
        <v>The Best of Tony Robbins: Lessons for Life Changing Success</v>
      </c>
      <c r="C728" s="32" t="s">
        <v>10</v>
      </c>
      <c r="D728" s="33"/>
      <c r="E728" s="33"/>
      <c r="F728" s="33" t="s">
        <v>51</v>
      </c>
      <c r="G728" s="36"/>
      <c r="H728" s="36"/>
      <c r="I728" s="36"/>
      <c r="J728" s="36" t="s">
        <v>1348</v>
      </c>
      <c r="K728" s="60" t="str">
        <f t="shared" si="17"/>
        <v>The Best of Tony Robbins: Lessons for Life Changing Success by </v>
      </c>
    </row>
    <row r="729" outlineLevel="1">
      <c r="A729" s="30"/>
      <c r="B729" s="59" t="str">
        <f t="shared" si="16"/>
        <v>The Best Software Writing I: Selected and Introduced</v>
      </c>
      <c r="C729" s="32" t="s">
        <v>10</v>
      </c>
      <c r="D729" s="33"/>
      <c r="E729" s="33"/>
      <c r="F729" s="33" t="s">
        <v>51</v>
      </c>
      <c r="G729" s="36"/>
      <c r="H729" s="60" t="s">
        <v>1349</v>
      </c>
      <c r="I729" s="36"/>
      <c r="J729" s="36" t="s">
        <v>1350</v>
      </c>
      <c r="K729" s="60" t="str">
        <f t="shared" si="17"/>
        <v>The Best Software Writing I: Selected and Introduced by Joel Spolsky</v>
      </c>
    </row>
    <row r="730" outlineLevel="1">
      <c r="A730" s="30"/>
      <c r="B730" s="59" t="str">
        <f t="shared" si="16"/>
        <v>The Best We Could Do: An Illustrated Memoir</v>
      </c>
      <c r="C730" s="32" t="s">
        <v>10</v>
      </c>
      <c r="D730" s="33"/>
      <c r="E730" s="33"/>
      <c r="F730" s="33" t="s">
        <v>51</v>
      </c>
      <c r="G730" s="36"/>
      <c r="H730" s="60" t="s">
        <v>1351</v>
      </c>
      <c r="I730" s="36"/>
      <c r="J730" s="36" t="s">
        <v>1352</v>
      </c>
      <c r="K730" s="60" t="str">
        <f t="shared" si="17"/>
        <v>The Best We Could Do: An Illustrated Memoir by Thi Bui</v>
      </c>
    </row>
    <row r="731" outlineLevel="1">
      <c r="A731" s="30"/>
      <c r="B731" s="59" t="str">
        <f t="shared" si="16"/>
        <v>The Big Burn: Teddy Roosevelt and the Fire that Saved America – An Epic Adventure Story of the 1910 Blaze that Led to the Creation of the National Forests</v>
      </c>
      <c r="C731" s="32" t="s">
        <v>10</v>
      </c>
      <c r="D731" s="33"/>
      <c r="E731" s="33"/>
      <c r="F731" s="33" t="s">
        <v>51</v>
      </c>
      <c r="G731" s="36" t="s">
        <v>65</v>
      </c>
      <c r="H731" s="60" t="s">
        <v>1353</v>
      </c>
      <c r="I731" s="36"/>
      <c r="J731" s="36" t="s">
        <v>1354</v>
      </c>
      <c r="K731" s="60" t="str">
        <f t="shared" si="17"/>
        <v>The Big Burn: Teddy Roosevelt and the Fire that Saved America – An Epic Adventure Story of the 1910 Blaze that Led to the Creation of the National Forests by Timothy Egan</v>
      </c>
    </row>
    <row r="732" outlineLevel="1">
      <c r="A732" s="30"/>
      <c r="B732" s="59" t="str">
        <f t="shared" si="16"/>
        <v>The Big Picture: On the Origins of Life, Meaning, and the Universe Itself</v>
      </c>
      <c r="C732" s="32" t="s">
        <v>10</v>
      </c>
      <c r="D732" s="33"/>
      <c r="E732" s="33"/>
      <c r="F732" s="33" t="s">
        <v>51</v>
      </c>
      <c r="G732" s="36"/>
      <c r="H732" s="60" t="s">
        <v>1215</v>
      </c>
      <c r="I732" s="36"/>
      <c r="J732" s="36" t="s">
        <v>1355</v>
      </c>
      <c r="K732" s="60" t="str">
        <f t="shared" si="17"/>
        <v>The Big Picture: On the Origins of Life, Meaning, and the Universe Itself by Sean Carroll</v>
      </c>
    </row>
    <row r="733" outlineLevel="1">
      <c r="A733" s="30"/>
      <c r="B733" s="59" t="str">
        <f t="shared" si="16"/>
        <v>The Bill of the Century: The Epic Battle for the Civil Rights Act</v>
      </c>
      <c r="C733" s="32" t="s">
        <v>10</v>
      </c>
      <c r="D733" s="33"/>
      <c r="E733" s="33"/>
      <c r="F733" s="33" t="s">
        <v>51</v>
      </c>
      <c r="G733" s="36"/>
      <c r="H733" s="60" t="s">
        <v>1356</v>
      </c>
      <c r="I733" s="36"/>
      <c r="J733" s="36" t="s">
        <v>1357</v>
      </c>
      <c r="K733" s="60" t="str">
        <f t="shared" si="17"/>
        <v>The Bill of the Century: The Epic Battle for the Civil Rights Act by Clay Risen</v>
      </c>
    </row>
    <row r="734" outlineLevel="1">
      <c r="A734" s="30"/>
      <c r="B734" s="59" t="str">
        <f t="shared" si="16"/>
        <v>The Billion Dollar Molecule: One Company's Quest for the Perfect Drug</v>
      </c>
      <c r="C734" s="32" t="s">
        <v>10</v>
      </c>
      <c r="D734" s="33"/>
      <c r="E734" s="33"/>
      <c r="F734" s="33" t="s">
        <v>51</v>
      </c>
      <c r="G734" s="36"/>
      <c r="H734" s="60" t="s">
        <v>1358</v>
      </c>
      <c r="I734" s="36"/>
      <c r="J734" s="36" t="s">
        <v>1359</v>
      </c>
      <c r="K734" s="60" t="str">
        <f t="shared" si="17"/>
        <v>The Billion Dollar Molecule: One Company's Quest for the Perfect Drug by Barry Werth</v>
      </c>
    </row>
    <row r="735" outlineLevel="1">
      <c r="A735" s="30"/>
      <c r="B735" s="59" t="str">
        <f t="shared" si="16"/>
        <v>The Black Count: Glory, Revolution, Betrayal, and the Real Count of Monte Cristo</v>
      </c>
      <c r="C735" s="32" t="s">
        <v>10</v>
      </c>
      <c r="D735" s="33"/>
      <c r="E735" s="33"/>
      <c r="F735" s="33" t="s">
        <v>51</v>
      </c>
      <c r="G735" s="36"/>
      <c r="H735" s="60" t="s">
        <v>1360</v>
      </c>
      <c r="I735" s="36"/>
      <c r="J735" s="36" t="s">
        <v>1361</v>
      </c>
      <c r="K735" s="60" t="str">
        <f t="shared" si="17"/>
        <v>The Black Count: Glory, Revolution, Betrayal, and the Real Count of Monte Cristo by Tom Reiss</v>
      </c>
    </row>
    <row r="736" outlineLevel="1">
      <c r="A736" s="30"/>
      <c r="B736" s="59" t="str">
        <f t="shared" si="16"/>
        <v>The Black Prism (Lightbringer, 1)</v>
      </c>
      <c r="C736" s="32" t="s">
        <v>10</v>
      </c>
      <c r="D736" s="33"/>
      <c r="E736" s="33"/>
      <c r="F736" s="33" t="s">
        <v>51</v>
      </c>
      <c r="G736" s="36"/>
      <c r="H736" s="60" t="s">
        <v>1362</v>
      </c>
      <c r="I736" s="36"/>
      <c r="J736" s="36" t="s">
        <v>1363</v>
      </c>
      <c r="K736" s="60" t="str">
        <f t="shared" si="17"/>
        <v>The Black Prism (Lightbringer, 1) by Brent Weeks</v>
      </c>
    </row>
    <row r="737" outlineLevel="1">
      <c r="A737" s="30"/>
      <c r="B737" s="59" t="str">
        <f t="shared" si="16"/>
        <v>The Blackhouse: The Lewis Trilogy</v>
      </c>
      <c r="C737" s="32" t="s">
        <v>10</v>
      </c>
      <c r="D737" s="33"/>
      <c r="E737" s="33"/>
      <c r="F737" s="33" t="s">
        <v>51</v>
      </c>
      <c r="G737" s="36"/>
      <c r="H737" s="36"/>
      <c r="I737" s="36"/>
      <c r="J737" s="36" t="s">
        <v>1364</v>
      </c>
      <c r="K737" s="60" t="str">
        <f t="shared" si="17"/>
        <v>The Blackhouse: The Lewis Trilogy by </v>
      </c>
    </row>
    <row r="738" outlineLevel="1">
      <c r="A738" s="30"/>
      <c r="B738" s="59" t="str">
        <f t="shared" si="16"/>
        <v>The Blank Slate: The Modern Denial of Human Nature</v>
      </c>
      <c r="C738" s="32" t="s">
        <v>22</v>
      </c>
      <c r="D738" s="33"/>
      <c r="E738" s="33"/>
      <c r="F738" s="33" t="s">
        <v>51</v>
      </c>
      <c r="G738" s="36"/>
      <c r="H738" s="60" t="s">
        <v>670</v>
      </c>
      <c r="I738" s="36"/>
      <c r="J738" s="36" t="s">
        <v>1365</v>
      </c>
      <c r="K738" s="60" t="str">
        <f t="shared" si="17"/>
        <v>The Blank Slate: The Modern Denial of Human Nature by Steven Pinker</v>
      </c>
    </row>
    <row r="739" outlineLevel="1">
      <c r="A739" s="30"/>
      <c r="B739" s="59" t="str">
        <f t="shared" si="16"/>
        <v>The Body Keeps the Score: Brain, Mind, and Body in the Healing of Trauma</v>
      </c>
      <c r="C739" s="32" t="s">
        <v>22</v>
      </c>
      <c r="D739" s="33"/>
      <c r="E739" s="33"/>
      <c r="F739" s="33" t="s">
        <v>51</v>
      </c>
      <c r="G739" s="36"/>
      <c r="H739" s="60" t="s">
        <v>1366</v>
      </c>
      <c r="I739" s="36"/>
      <c r="J739" s="36" t="s">
        <v>1367</v>
      </c>
      <c r="K739" s="60" t="str">
        <f t="shared" si="17"/>
        <v>The Body Keeps the Score: Brain, Mind, and Body in the Healing of Trauma by Sean Pratt, Bessel van der Kolk M.D.</v>
      </c>
    </row>
    <row r="740" outlineLevel="1">
      <c r="A740" s="30"/>
      <c r="B740" s="59" t="str">
        <f t="shared" si="16"/>
        <v>The Book of My Lives</v>
      </c>
      <c r="C740" s="32" t="s">
        <v>10</v>
      </c>
      <c r="D740" s="33"/>
      <c r="E740" s="33"/>
      <c r="F740" s="33" t="s">
        <v>51</v>
      </c>
      <c r="G740" s="36"/>
      <c r="H740" s="60" t="s">
        <v>1368</v>
      </c>
      <c r="I740" s="36"/>
      <c r="J740" s="36" t="s">
        <v>1369</v>
      </c>
      <c r="K740" s="60" t="str">
        <f t="shared" si="17"/>
        <v>The Book of My Lives by Aleksandar Hemon</v>
      </c>
    </row>
    <row r="741" outlineLevel="1">
      <c r="A741" s="30"/>
      <c r="B741" s="59" t="str">
        <f t="shared" si="16"/>
        <v>The Book of Not Knowing: Exploring the True Nature of Self, Mind, and Consciousness</v>
      </c>
      <c r="C741" s="32" t="s">
        <v>22</v>
      </c>
      <c r="D741" s="33"/>
      <c r="E741" s="33"/>
      <c r="F741" s="33" t="s">
        <v>51</v>
      </c>
      <c r="G741" s="36"/>
      <c r="H741" s="60" t="s">
        <v>1124</v>
      </c>
      <c r="I741" s="36"/>
      <c r="J741" s="36" t="s">
        <v>1370</v>
      </c>
      <c r="K741" s="60" t="str">
        <f t="shared" si="17"/>
        <v>The Book of Not Knowing: Exploring the True Nature of Self, Mind, and Consciousness by Peter Ralston</v>
      </c>
    </row>
    <row r="742" outlineLevel="1">
      <c r="A742" s="30"/>
      <c r="B742" s="59" t="str">
        <f t="shared" si="16"/>
        <v>The Book of Why: The New Science of Cause and Effect</v>
      </c>
      <c r="C742" s="32" t="s">
        <v>10</v>
      </c>
      <c r="D742" s="33"/>
      <c r="E742" s="33"/>
      <c r="F742" s="33" t="s">
        <v>51</v>
      </c>
      <c r="G742" s="36"/>
      <c r="H742" s="60" t="s">
        <v>1371</v>
      </c>
      <c r="I742" s="36"/>
      <c r="J742" s="36" t="s">
        <v>1372</v>
      </c>
      <c r="K742" s="60" t="str">
        <f t="shared" si="17"/>
        <v>The Book of Why: The New Science of Cause and Effect by Judea Pearl, Dana Mackenzie</v>
      </c>
    </row>
    <row r="743" outlineLevel="1">
      <c r="A743" s="30"/>
      <c r="B743" s="59" t="str">
        <f t="shared" si="16"/>
        <v>The Boy in the Striped Pajamas</v>
      </c>
      <c r="C743" s="32" t="s">
        <v>10</v>
      </c>
      <c r="D743" s="33"/>
      <c r="E743" s="33"/>
      <c r="F743" s="33" t="s">
        <v>51</v>
      </c>
      <c r="G743" s="36"/>
      <c r="H743" s="60" t="s">
        <v>1373</v>
      </c>
      <c r="I743" s="36"/>
      <c r="J743" s="36" t="s">
        <v>1374</v>
      </c>
      <c r="K743" s="60" t="str">
        <f t="shared" si="17"/>
        <v>The Boy in the Striped Pajamas by John Boyne</v>
      </c>
    </row>
    <row r="744" outlineLevel="1">
      <c r="A744" s="30"/>
      <c r="B744" s="59" t="str">
        <f t="shared" si="16"/>
        <v>The Breaks of the Game</v>
      </c>
      <c r="C744" s="32" t="s">
        <v>22</v>
      </c>
      <c r="D744" s="33"/>
      <c r="E744" s="33"/>
      <c r="F744" s="33" t="s">
        <v>51</v>
      </c>
      <c r="G744" s="36"/>
      <c r="H744" s="60" t="s">
        <v>1375</v>
      </c>
      <c r="I744" s="36"/>
      <c r="J744" s="36" t="s">
        <v>1376</v>
      </c>
      <c r="K744" s="60" t="str">
        <f t="shared" si="17"/>
        <v>The Breaks of the Game by David Halberstam</v>
      </c>
    </row>
    <row r="745" outlineLevel="1">
      <c r="A745" s="30"/>
      <c r="B745" s="59" t="str">
        <f t="shared" si="16"/>
        <v>The British Are Coming: The War for America, Lexington to Princeton, 1775-1777</v>
      </c>
      <c r="C745" s="32" t="s">
        <v>10</v>
      </c>
      <c r="D745" s="33"/>
      <c r="E745" s="33"/>
      <c r="F745" s="33" t="s">
        <v>51</v>
      </c>
      <c r="G745" s="36"/>
      <c r="H745" s="60" t="s">
        <v>1377</v>
      </c>
      <c r="I745" s="36"/>
      <c r="J745" s="36" t="s">
        <v>119</v>
      </c>
      <c r="K745" s="60" t="str">
        <f t="shared" si="17"/>
        <v>The British Are Coming: The War for America, Lexington to Princeton, 1775-1777 by George Newbern, Rick Atkinson</v>
      </c>
    </row>
    <row r="746" outlineLevel="1">
      <c r="A746" s="30"/>
      <c r="B746" s="59" t="str">
        <f t="shared" si="16"/>
        <v>The Burgess Boys: A Novel</v>
      </c>
      <c r="C746" s="32" t="s">
        <v>10</v>
      </c>
      <c r="D746" s="33"/>
      <c r="E746" s="33"/>
      <c r="F746" s="33" t="s">
        <v>51</v>
      </c>
      <c r="G746" s="36"/>
      <c r="H746" s="60" t="s">
        <v>1378</v>
      </c>
      <c r="I746" s="36"/>
      <c r="J746" s="36" t="s">
        <v>1379</v>
      </c>
      <c r="K746" s="60" t="str">
        <f t="shared" si="17"/>
        <v>The Burgess Boys: A Novel by Elizabeth Strout</v>
      </c>
    </row>
    <row r="747" outlineLevel="1">
      <c r="A747" s="30"/>
      <c r="B747" s="59" t="str">
        <f t="shared" si="16"/>
        <v>The Buried Giant: A novel</v>
      </c>
      <c r="C747" s="32" t="s">
        <v>10</v>
      </c>
      <c r="D747" s="33"/>
      <c r="E747" s="33"/>
      <c r="F747" s="33" t="s">
        <v>51</v>
      </c>
      <c r="G747" s="36" t="s">
        <v>1380</v>
      </c>
      <c r="H747" s="60" t="s">
        <v>882</v>
      </c>
      <c r="I747" s="36"/>
      <c r="J747" s="36" t="s">
        <v>1381</v>
      </c>
      <c r="K747" s="60" t="str">
        <f t="shared" si="17"/>
        <v>The Buried Giant: A novel by Kazuo Ishiguro</v>
      </c>
    </row>
    <row r="748" outlineLevel="1">
      <c r="A748" s="30"/>
      <c r="B748" s="59" t="str">
        <f t="shared" si="16"/>
        <v>The Burning Room</v>
      </c>
      <c r="C748" s="32" t="s">
        <v>10</v>
      </c>
      <c r="D748" s="33"/>
      <c r="E748" s="33"/>
      <c r="F748" s="33" t="s">
        <v>51</v>
      </c>
      <c r="G748" s="36"/>
      <c r="H748" s="60" t="s">
        <v>1382</v>
      </c>
      <c r="I748" s="36"/>
      <c r="J748" s="36" t="s">
        <v>1383</v>
      </c>
      <c r="K748" s="60" t="str">
        <f t="shared" si="17"/>
        <v>The Burning Room by Michael Connelly</v>
      </c>
    </row>
    <row r="749" outlineLevel="1">
      <c r="A749" s="30"/>
      <c r="B749" s="59" t="str">
        <f t="shared" si="16"/>
        <v>The Call Of Stories: Teaching and the Moral Imagination – A Study of How Listening Promotes Learning and Self-Discovery</v>
      </c>
      <c r="C749" s="32" t="s">
        <v>10</v>
      </c>
      <c r="D749" s="33"/>
      <c r="E749" s="33"/>
      <c r="F749" s="33" t="s">
        <v>51</v>
      </c>
      <c r="G749" s="36"/>
      <c r="H749" s="60" t="s">
        <v>1384</v>
      </c>
      <c r="I749" s="36"/>
      <c r="J749" s="36" t="s">
        <v>1385</v>
      </c>
      <c r="K749" s="60" t="str">
        <f t="shared" si="17"/>
        <v>The Call Of Stories: Teaching and the Moral Imagination – A Study of How Listening Promotes Learning and Self-Discovery by Robert Coles</v>
      </c>
    </row>
    <row r="750" outlineLevel="1">
      <c r="A750" s="30"/>
      <c r="B750" s="59" t="str">
        <f t="shared" si="16"/>
        <v>The Case Against Reality: How Evolution Hid the Truth from Our Eyes</v>
      </c>
      <c r="C750" s="32" t="s">
        <v>22</v>
      </c>
      <c r="D750" s="33"/>
      <c r="E750" s="33"/>
      <c r="F750" s="33" t="s">
        <v>51</v>
      </c>
      <c r="G750" s="36"/>
      <c r="H750" s="60" t="s">
        <v>1386</v>
      </c>
      <c r="I750" s="36"/>
      <c r="J750" s="36" t="s">
        <v>1387</v>
      </c>
      <c r="K750" s="60" t="str">
        <f t="shared" si="17"/>
        <v>The Case Against Reality: How Evolution Hid the Truth from Our Eyes by Donald D. Hoffman</v>
      </c>
    </row>
    <row r="751" outlineLevel="1">
      <c r="A751" s="30"/>
      <c r="B751" s="59" t="str">
        <f t="shared" si="16"/>
        <v>The Charisma Myth: How Anyone Can Master the Art and Science of Personal Magnetism</v>
      </c>
      <c r="C751" s="32" t="s">
        <v>10</v>
      </c>
      <c r="D751" s="33"/>
      <c r="E751" s="33"/>
      <c r="F751" s="33" t="s">
        <v>51</v>
      </c>
      <c r="G751" s="36"/>
      <c r="H751" s="60" t="s">
        <v>1388</v>
      </c>
      <c r="I751" s="36"/>
      <c r="J751" s="36" t="s">
        <v>1389</v>
      </c>
      <c r="K751" s="60" t="str">
        <f t="shared" si="17"/>
        <v>The Charisma Myth: How Anyone Can Master the Art and Science of Personal Magnetism by Olivia Fox Cabane</v>
      </c>
    </row>
    <row r="752" outlineLevel="1">
      <c r="A752" s="30"/>
      <c r="B752" s="59" t="str">
        <f t="shared" si="16"/>
        <v>The Circle</v>
      </c>
      <c r="C752" s="32" t="s">
        <v>10</v>
      </c>
      <c r="D752" s="33"/>
      <c r="E752" s="33"/>
      <c r="F752" s="33" t="s">
        <v>51</v>
      </c>
      <c r="G752" s="36"/>
      <c r="H752" s="60" t="s">
        <v>306</v>
      </c>
      <c r="I752" s="36"/>
      <c r="J752" s="36" t="s">
        <v>1390</v>
      </c>
      <c r="K752" s="60" t="str">
        <f t="shared" si="17"/>
        <v>The Circle by Dave Eggers</v>
      </c>
    </row>
    <row r="753" outlineLevel="1">
      <c r="A753" s="30"/>
      <c r="B753" s="59" t="str">
        <f t="shared" si="16"/>
        <v>The City We Became: A Novel </v>
      </c>
      <c r="C753" s="32" t="s">
        <v>10</v>
      </c>
      <c r="D753" s="33"/>
      <c r="E753" s="33"/>
      <c r="F753" s="33" t="s">
        <v>51</v>
      </c>
      <c r="G753" s="36" t="s">
        <v>1391</v>
      </c>
      <c r="H753" s="60" t="s">
        <v>1392</v>
      </c>
      <c r="I753" s="36"/>
      <c r="J753" s="36" t="s">
        <v>1393</v>
      </c>
      <c r="K753" s="60" t="str">
        <f t="shared" si="17"/>
        <v>The City We Became: A Novel  by N. K. Jemisin</v>
      </c>
    </row>
    <row r="754" outlineLevel="1">
      <c r="A754" s="30"/>
      <c r="B754" s="59" t="str">
        <f t="shared" si="16"/>
        <v>The Clementine Complex (Gary Thorn, 1)</v>
      </c>
      <c r="C754" s="32" t="s">
        <v>10</v>
      </c>
      <c r="D754" s="33"/>
      <c r="E754" s="33"/>
      <c r="F754" s="33" t="s">
        <v>51</v>
      </c>
      <c r="G754" s="36"/>
      <c r="H754" s="60" t="s">
        <v>1394</v>
      </c>
      <c r="I754" s="36"/>
      <c r="J754" s="36" t="s">
        <v>1395</v>
      </c>
      <c r="K754" s="60" t="str">
        <f t="shared" si="17"/>
        <v>The Clementine Complex (Gary Thorn, 1) by Bob Mortimer</v>
      </c>
    </row>
    <row r="755" outlineLevel="1">
      <c r="A755" s="30"/>
      <c r="B755" s="59" t="str">
        <f t="shared" si="16"/>
        <v>The Coddling of the American Mind: How Good Intentions and Bad Ideas Are Setting Up a Generation for Failure</v>
      </c>
      <c r="C755" s="32" t="s">
        <v>10</v>
      </c>
      <c r="D755" s="33"/>
      <c r="E755" s="33"/>
      <c r="F755" s="33" t="s">
        <v>51</v>
      </c>
      <c r="G755" s="36"/>
      <c r="H755" s="60" t="s">
        <v>1396</v>
      </c>
      <c r="I755" s="36"/>
      <c r="J755" s="36" t="s">
        <v>1397</v>
      </c>
      <c r="K755" s="60" t="str">
        <f t="shared" si="17"/>
        <v>The Coddling of the American Mind: How Good Intentions and Bad Ideas Are Setting Up a Generation for Failure by Greg Lukianoff, Jonathan Haidt</v>
      </c>
    </row>
    <row r="756" outlineLevel="1">
      <c r="A756" s="30"/>
      <c r="B756" s="59" t="str">
        <f t="shared" si="16"/>
        <v>The Coddling of the American Mind: How Good Intentions and Bad Ideas Are Setting Up a Generation for Failure</v>
      </c>
      <c r="C756" s="32" t="s">
        <v>22</v>
      </c>
      <c r="D756" s="33"/>
      <c r="E756" s="33"/>
      <c r="F756" s="33" t="s">
        <v>51</v>
      </c>
      <c r="G756" s="36"/>
      <c r="H756" s="60" t="s">
        <v>1398</v>
      </c>
      <c r="I756" s="36"/>
      <c r="J756" s="36" t="s">
        <v>1397</v>
      </c>
      <c r="K756" s="60" t="str">
        <f t="shared" si="17"/>
        <v>The Coddling of the American Mind: How Good Intentions and Bad Ideas Are Setting Up a Generation for Failure by Jonathan Haidt, Greg Lukianoff</v>
      </c>
    </row>
    <row r="757" outlineLevel="1">
      <c r="A757" s="30"/>
      <c r="B757" s="59" t="str">
        <f t="shared" si="16"/>
        <v>The Collapse of Yugoslavia 1991-1999</v>
      </c>
      <c r="C757" s="32" t="s">
        <v>10</v>
      </c>
      <c r="D757" s="33"/>
      <c r="E757" s="33"/>
      <c r="F757" s="33" t="s">
        <v>51</v>
      </c>
      <c r="G757" s="36" t="s">
        <v>1399</v>
      </c>
      <c r="H757" s="60" t="s">
        <v>1400</v>
      </c>
      <c r="I757" s="36"/>
      <c r="J757" s="36" t="s">
        <v>1401</v>
      </c>
      <c r="K757" s="60" t="str">
        <f t="shared" si="17"/>
        <v>The Collapse of Yugoslavia 1991-1999 by Alastair Finlan</v>
      </c>
    </row>
    <row r="758" outlineLevel="1">
      <c r="A758" s="30"/>
      <c r="B758" s="59" t="str">
        <f t="shared" si="16"/>
        <v>The Collapsing Empire (The Interdependency, 1)</v>
      </c>
      <c r="C758" s="32" t="s">
        <v>10</v>
      </c>
      <c r="D758" s="33"/>
      <c r="E758" s="33"/>
      <c r="F758" s="33" t="s">
        <v>51</v>
      </c>
      <c r="G758" s="36"/>
      <c r="H758" s="60" t="s">
        <v>44</v>
      </c>
      <c r="I758" s="36"/>
      <c r="J758" s="36" t="s">
        <v>1402</v>
      </c>
      <c r="K758" s="60" t="str">
        <f t="shared" si="17"/>
        <v>The Collapsing Empire (The Interdependency, 1) by John Scalzi</v>
      </c>
    </row>
    <row r="759" outlineLevel="1">
      <c r="A759" s="30"/>
      <c r="B759" s="59" t="str">
        <f t="shared" si="16"/>
        <v>The Color of Water</v>
      </c>
      <c r="C759" s="32" t="s">
        <v>10</v>
      </c>
      <c r="D759" s="33"/>
      <c r="E759" s="33"/>
      <c r="F759" s="33" t="s">
        <v>51</v>
      </c>
      <c r="G759" s="36"/>
      <c r="H759" s="60" t="s">
        <v>598</v>
      </c>
      <c r="I759" s="36"/>
      <c r="J759" s="36" t="s">
        <v>1403</v>
      </c>
      <c r="K759" s="60" t="str">
        <f t="shared" si="17"/>
        <v>The Color of Water by James McBride</v>
      </c>
    </row>
    <row r="760" outlineLevel="1">
      <c r="A760" s="30"/>
      <c r="B760" s="59" t="str">
        <f t="shared" si="16"/>
        <v>The Coming Wave: Technology, Power, and the Twenty-first Century's Greatest Dilemma</v>
      </c>
      <c r="C760" s="32" t="s">
        <v>22</v>
      </c>
      <c r="D760" s="33"/>
      <c r="E760" s="33"/>
      <c r="F760" s="33" t="s">
        <v>51</v>
      </c>
      <c r="G760" s="36"/>
      <c r="H760" s="60" t="s">
        <v>1404</v>
      </c>
      <c r="I760" s="36"/>
      <c r="J760" s="36" t="s">
        <v>1405</v>
      </c>
      <c r="K760" s="60" t="str">
        <f t="shared" si="17"/>
        <v>The Coming Wave: Technology, Power, and the Twenty-first Century's Greatest Dilemma by Mustafa Suleyman, Michael Bhaskar</v>
      </c>
    </row>
    <row r="761" outlineLevel="1">
      <c r="A761" s="30"/>
      <c r="B761" s="59" t="str">
        <f t="shared" si="16"/>
        <v>The Confidence Men: How Two Prisoners of War Engineered the Most Remarkable Escape in History</v>
      </c>
      <c r="C761" s="32" t="s">
        <v>10</v>
      </c>
      <c r="D761" s="33"/>
      <c r="E761" s="33"/>
      <c r="F761" s="33" t="s">
        <v>51</v>
      </c>
      <c r="G761" s="36"/>
      <c r="H761" s="60" t="s">
        <v>1406</v>
      </c>
      <c r="I761" s="36"/>
      <c r="J761" s="36" t="s">
        <v>1407</v>
      </c>
      <c r="K761" s="60" t="str">
        <f t="shared" si="17"/>
        <v>The Confidence Men: How Two Prisoners of War Engineered the Most Remarkable Escape in History by Margalit Fox</v>
      </c>
    </row>
    <row r="762" outlineLevel="1">
      <c r="A762" s="30"/>
      <c r="B762" s="59" t="str">
        <f t="shared" si="16"/>
        <v>The Covenant of Water</v>
      </c>
      <c r="C762" s="32" t="s">
        <v>10</v>
      </c>
      <c r="D762" s="33"/>
      <c r="E762" s="33"/>
      <c r="F762" s="33" t="s">
        <v>51</v>
      </c>
      <c r="G762" s="36" t="s">
        <v>373</v>
      </c>
      <c r="H762" s="60" t="s">
        <v>1408</v>
      </c>
      <c r="I762" s="36"/>
      <c r="J762" s="36" t="s">
        <v>1409</v>
      </c>
      <c r="K762" s="60" t="str">
        <f t="shared" si="17"/>
        <v>The Covenant of Water by Abraham Verghese</v>
      </c>
    </row>
    <row r="763" outlineLevel="1">
      <c r="A763" s="30"/>
      <c r="B763" s="59" t="str">
        <f t="shared" si="16"/>
        <v>The Creative Act: A Way of Being</v>
      </c>
      <c r="C763" s="32" t="s">
        <v>22</v>
      </c>
      <c r="D763" s="33"/>
      <c r="E763" s="33"/>
      <c r="F763" s="33" t="s">
        <v>51</v>
      </c>
      <c r="G763" s="36"/>
      <c r="H763" s="60" t="s">
        <v>1410</v>
      </c>
      <c r="I763" s="36"/>
      <c r="J763" s="36" t="s">
        <v>1411</v>
      </c>
      <c r="K763" s="60" t="str">
        <f t="shared" si="17"/>
        <v>The Creative Act: A Way of Being by Rick Rubin</v>
      </c>
    </row>
    <row r="764" outlineLevel="1">
      <c r="A764" s="30"/>
      <c r="B764" s="59" t="str">
        <f t="shared" si="16"/>
        <v>The Crossing</v>
      </c>
      <c r="C764" s="32" t="s">
        <v>10</v>
      </c>
      <c r="D764" s="33"/>
      <c r="E764" s="33"/>
      <c r="F764" s="33" t="s">
        <v>51</v>
      </c>
      <c r="G764" s="36"/>
      <c r="H764" s="60" t="s">
        <v>1382</v>
      </c>
      <c r="I764" s="36"/>
      <c r="J764" s="36" t="s">
        <v>1412</v>
      </c>
      <c r="K764" s="60" t="str">
        <f t="shared" si="17"/>
        <v>The Crossing by Michael Connelly</v>
      </c>
    </row>
    <row r="765" outlineLevel="1">
      <c r="A765" s="30"/>
      <c r="B765" s="59" t="str">
        <f t="shared" si="16"/>
        <v>The Crowded Hour: Theodore Roosevelt, the Rough Riders, and the Dawn of the American Century</v>
      </c>
      <c r="C765" s="32" t="s">
        <v>10</v>
      </c>
      <c r="D765" s="33"/>
      <c r="E765" s="33"/>
      <c r="F765" s="33" t="s">
        <v>51</v>
      </c>
      <c r="G765" s="36"/>
      <c r="H765" s="60" t="s">
        <v>1356</v>
      </c>
      <c r="I765" s="36"/>
      <c r="J765" s="36" t="s">
        <v>1413</v>
      </c>
      <c r="K765" s="60" t="str">
        <f t="shared" si="17"/>
        <v>The Crowded Hour: Theodore Roosevelt, the Rough Riders, and the Dawn of the American Century by Clay Risen</v>
      </c>
    </row>
    <row r="766" outlineLevel="1">
      <c r="A766" s="30"/>
      <c r="B766" s="59" t="str">
        <f t="shared" si="16"/>
        <v>The Dark Forest</v>
      </c>
      <c r="C766" s="32" t="s">
        <v>10</v>
      </c>
      <c r="D766" s="33"/>
      <c r="E766" s="33"/>
      <c r="F766" s="33" t="s">
        <v>51</v>
      </c>
      <c r="G766" s="36" t="s">
        <v>1414</v>
      </c>
      <c r="H766" s="60" t="s">
        <v>1415</v>
      </c>
      <c r="I766" s="36"/>
      <c r="J766" s="36" t="s">
        <v>215</v>
      </c>
      <c r="K766" s="60" t="str">
        <f t="shared" si="17"/>
        <v>The Dark Forest by Cixin Liu, Joel Martinsen</v>
      </c>
    </row>
    <row r="767" outlineLevel="1">
      <c r="A767" s="30"/>
      <c r="B767" s="59" t="str">
        <f t="shared" si="16"/>
        <v>The Demon in the Machine: How Hidden Webs of Information Are Solving the Mystery of Life</v>
      </c>
      <c r="C767" s="32" t="s">
        <v>22</v>
      </c>
      <c r="D767" s="33"/>
      <c r="E767" s="33"/>
      <c r="F767" s="33" t="s">
        <v>51</v>
      </c>
      <c r="G767" s="36"/>
      <c r="H767" s="60" t="s">
        <v>1416</v>
      </c>
      <c r="I767" s="36"/>
      <c r="J767" s="36" t="s">
        <v>1417</v>
      </c>
      <c r="K767" s="60" t="str">
        <f t="shared" si="17"/>
        <v>The Demon in the Machine: How Hidden Webs of Information Are Solving the Mystery of Life by Paul Davies</v>
      </c>
    </row>
    <row r="768" outlineLevel="1">
      <c r="A768" s="30"/>
      <c r="B768" s="59" t="str">
        <f t="shared" si="16"/>
        <v>The Design of Everyday Things: Revised and Expanded Edition</v>
      </c>
      <c r="C768" s="32" t="s">
        <v>10</v>
      </c>
      <c r="D768" s="33"/>
      <c r="E768" s="33"/>
      <c r="F768" s="33" t="s">
        <v>51</v>
      </c>
      <c r="G768" s="36"/>
      <c r="H768" s="60" t="s">
        <v>1418</v>
      </c>
      <c r="I768" s="36"/>
      <c r="J768" s="36" t="s">
        <v>1419</v>
      </c>
      <c r="K768" s="60" t="str">
        <f t="shared" si="17"/>
        <v>The Design of Everyday Things: Revised and Expanded Edition by Don Norman</v>
      </c>
    </row>
    <row r="769" outlineLevel="1">
      <c r="A769" s="30"/>
      <c r="B769" s="59" t="str">
        <f t="shared" si="16"/>
        <v>The Dip: A Little Book That Teaches You When to Quit (and When to Stick)</v>
      </c>
      <c r="C769" s="32" t="s">
        <v>10</v>
      </c>
      <c r="D769" s="33"/>
      <c r="E769" s="33"/>
      <c r="F769" s="33" t="s">
        <v>51</v>
      </c>
      <c r="G769" s="36"/>
      <c r="H769" s="60" t="s">
        <v>1420</v>
      </c>
      <c r="I769" s="36"/>
      <c r="J769" s="36" t="s">
        <v>1421</v>
      </c>
      <c r="K769" s="60" t="str">
        <f t="shared" si="17"/>
        <v>The Dip: A Little Book That Teaches You When to Quit (and When to Stick) by Seth Godin</v>
      </c>
    </row>
    <row r="770" outlineLevel="1">
      <c r="A770" s="30"/>
      <c r="B770" s="59" t="str">
        <f t="shared" si="16"/>
        <v>The Dispossessed: A Novel</v>
      </c>
      <c r="C770" s="32" t="s">
        <v>10</v>
      </c>
      <c r="D770" s="33"/>
      <c r="E770" s="33"/>
      <c r="F770" s="33" t="s">
        <v>51</v>
      </c>
      <c r="G770" s="36" t="s">
        <v>1422</v>
      </c>
      <c r="H770" s="60" t="s">
        <v>1423</v>
      </c>
      <c r="I770" s="36"/>
      <c r="J770" s="36" t="s">
        <v>1424</v>
      </c>
      <c r="K770" s="60" t="str">
        <f t="shared" si="17"/>
        <v>The Dispossessed: A Novel by Ursula K. Le Guin, Karen Joy Fowler</v>
      </c>
    </row>
    <row r="771" outlineLevel="1">
      <c r="A771" s="30"/>
      <c r="B771" s="59" t="str">
        <f t="shared" si="16"/>
        <v>The Doorman: A Novel</v>
      </c>
      <c r="C771" s="32" t="s">
        <v>10</v>
      </c>
      <c r="D771" s="33"/>
      <c r="E771" s="33"/>
      <c r="F771" s="33" t="s">
        <v>51</v>
      </c>
      <c r="G771" s="36"/>
      <c r="H771" s="60" t="s">
        <v>1294</v>
      </c>
      <c r="I771" s="36"/>
      <c r="J771" s="36" t="s">
        <v>1425</v>
      </c>
      <c r="K771" s="60" t="str">
        <f t="shared" si="17"/>
        <v>The Doorman: A Novel by Chris Pavone</v>
      </c>
    </row>
    <row r="772" outlineLevel="1">
      <c r="A772" s="30"/>
      <c r="B772" s="59" t="str">
        <f t="shared" si="16"/>
        <v>The Dreaming Void</v>
      </c>
      <c r="C772" s="32" t="s">
        <v>10</v>
      </c>
      <c r="D772" s="33"/>
      <c r="E772" s="33"/>
      <c r="F772" s="33" t="s">
        <v>51</v>
      </c>
      <c r="G772" s="36" t="s">
        <v>1426</v>
      </c>
      <c r="H772" s="60" t="s">
        <v>1292</v>
      </c>
      <c r="I772" s="36"/>
      <c r="J772" s="36" t="s">
        <v>1427</v>
      </c>
      <c r="K772" s="60" t="str">
        <f t="shared" si="17"/>
        <v>The Dreaming Void by Peter F. Hamilton</v>
      </c>
    </row>
    <row r="773" outlineLevel="1">
      <c r="A773" s="30"/>
      <c r="B773" s="59" t="str">
        <f t="shared" si="16"/>
        <v>The Emperor of All Maladies: A Biography of Cancer</v>
      </c>
      <c r="C773" s="32" t="s">
        <v>22</v>
      </c>
      <c r="D773" s="33"/>
      <c r="E773" s="33"/>
      <c r="F773" s="33" t="s">
        <v>51</v>
      </c>
      <c r="G773" s="36"/>
      <c r="H773" s="60" t="s">
        <v>1428</v>
      </c>
      <c r="I773" s="36"/>
      <c r="J773" s="36" t="s">
        <v>1429</v>
      </c>
      <c r="K773" s="60" t="str">
        <f t="shared" si="17"/>
        <v>The Emperor of All Maladies: A Biography of Cancer by Siddhartha Mukherjee</v>
      </c>
    </row>
    <row r="774" outlineLevel="1">
      <c r="A774" s="30"/>
      <c r="B774" s="59" t="str">
        <f t="shared" si="16"/>
        <v>The End of History and the Last Man</v>
      </c>
      <c r="C774" s="32" t="s">
        <v>22</v>
      </c>
      <c r="D774" s="33"/>
      <c r="E774" s="33"/>
      <c r="F774" s="33" t="s">
        <v>51</v>
      </c>
      <c r="G774" s="36"/>
      <c r="H774" s="60" t="s">
        <v>1430</v>
      </c>
      <c r="I774" s="36"/>
      <c r="J774" s="36" t="s">
        <v>1431</v>
      </c>
      <c r="K774" s="60" t="str">
        <f t="shared" si="17"/>
        <v>The End of History and the Last Man by Francis Fukuyama</v>
      </c>
    </row>
    <row r="775" outlineLevel="1">
      <c r="A775" s="30"/>
      <c r="B775" s="59" t="str">
        <f t="shared" si="16"/>
        <v>The End of Power: From Boardrooms to Battlefields and Churches to States, Why Being In Charge Isn't What It Used to Be</v>
      </c>
      <c r="C775" s="32" t="s">
        <v>10</v>
      </c>
      <c r="D775" s="33"/>
      <c r="E775" s="33"/>
      <c r="F775" s="33" t="s">
        <v>51</v>
      </c>
      <c r="G775" s="36"/>
      <c r="H775" s="60" t="s">
        <v>1432</v>
      </c>
      <c r="I775" s="36"/>
      <c r="J775" s="36" t="s">
        <v>1433</v>
      </c>
      <c r="K775" s="60" t="str">
        <f t="shared" si="17"/>
        <v>The End of Power: From Boardrooms to Battlefields and Churches to States, Why Being In Charge Isn't What It Used to Be by Moises Naim</v>
      </c>
    </row>
    <row r="776" outlineLevel="1">
      <c r="A776" s="30"/>
      <c r="B776" s="59" t="str">
        <f t="shared" si="16"/>
        <v>The English Girl: A Novel</v>
      </c>
      <c r="C776" s="32" t="s">
        <v>10</v>
      </c>
      <c r="D776" s="33"/>
      <c r="E776" s="33"/>
      <c r="F776" s="33" t="s">
        <v>51</v>
      </c>
      <c r="G776" s="36" t="s">
        <v>1434</v>
      </c>
      <c r="H776" s="60" t="s">
        <v>1435</v>
      </c>
      <c r="I776" s="36"/>
      <c r="J776" s="36" t="s">
        <v>1436</v>
      </c>
      <c r="K776" s="60" t="str">
        <f t="shared" si="17"/>
        <v>The English Girl: A Novel by Daniel Silva</v>
      </c>
    </row>
    <row r="777" outlineLevel="1">
      <c r="A777" s="30"/>
      <c r="B777" s="59" t="str">
        <f t="shared" si="16"/>
        <v>The Essential Writings of Ralph Waldo Emerson: Nature, Self-Reliance, Compensation, the American Scholar and Other Essays</v>
      </c>
      <c r="C777" s="32" t="s">
        <v>22</v>
      </c>
      <c r="D777" s="33"/>
      <c r="E777" s="33"/>
      <c r="F777" s="33" t="s">
        <v>51</v>
      </c>
      <c r="G777" s="36"/>
      <c r="H777" s="60" t="s">
        <v>1437</v>
      </c>
      <c r="I777" s="36"/>
      <c r="J777" s="36" t="s">
        <v>1438</v>
      </c>
      <c r="K777" s="60" t="str">
        <f t="shared" si="17"/>
        <v>The Essential Writings of Ralph Waldo Emerson: Nature, Self-Reliance, Compensation, the American Scholar and Other Essays by Ralph Waldo Emerson, Mark Bowen</v>
      </c>
    </row>
    <row r="778" outlineLevel="1">
      <c r="A778" s="30"/>
      <c r="B778" s="59" t="str">
        <f t="shared" si="16"/>
        <v>The Examined Life: How We Lose and Find Ourselves</v>
      </c>
      <c r="C778" s="32" t="s">
        <v>10</v>
      </c>
      <c r="D778" s="33"/>
      <c r="E778" s="33"/>
      <c r="F778" s="33" t="s">
        <v>51</v>
      </c>
      <c r="G778" s="36"/>
      <c r="H778" s="60" t="s">
        <v>1439</v>
      </c>
      <c r="I778" s="36"/>
      <c r="J778" s="36" t="s">
        <v>1440</v>
      </c>
      <c r="K778" s="60" t="str">
        <f t="shared" si="17"/>
        <v>The Examined Life: How We Lose and Find Ourselves by Stephen Grosz</v>
      </c>
    </row>
    <row r="779" outlineLevel="1">
      <c r="A779" s="30"/>
      <c r="B779" s="59" t="str">
        <f t="shared" si="16"/>
        <v>The Extraordinary Life of Sam Hell: A Novel</v>
      </c>
      <c r="C779" s="32" t="s">
        <v>10</v>
      </c>
      <c r="D779" s="33"/>
      <c r="E779" s="33"/>
      <c r="F779" s="33" t="s">
        <v>51</v>
      </c>
      <c r="G779" s="36"/>
      <c r="H779" s="60" t="s">
        <v>144</v>
      </c>
      <c r="I779" s="36"/>
      <c r="J779" s="36" t="s">
        <v>1441</v>
      </c>
      <c r="K779" s="60" t="str">
        <f t="shared" si="17"/>
        <v>The Extraordinary Life of Sam Hell: A Novel by Robert Dugoni</v>
      </c>
    </row>
    <row r="780" outlineLevel="1">
      <c r="A780" s="30"/>
      <c r="B780" s="59" t="str">
        <f t="shared" si="16"/>
        <v>The Faithful Spy (John Wells, No. 1)</v>
      </c>
      <c r="C780" s="32" t="s">
        <v>10</v>
      </c>
      <c r="D780" s="33"/>
      <c r="E780" s="33"/>
      <c r="F780" s="33" t="s">
        <v>51</v>
      </c>
      <c r="G780" s="36"/>
      <c r="H780" s="60" t="s">
        <v>1442</v>
      </c>
      <c r="I780" s="36"/>
      <c r="J780" s="36" t="s">
        <v>1443</v>
      </c>
      <c r="K780" s="60" t="str">
        <f t="shared" si="17"/>
        <v>The Faithful Spy (John Wells, No. 1) by Alex Berenson</v>
      </c>
    </row>
    <row r="781" outlineLevel="1">
      <c r="A781" s="30"/>
      <c r="B781" s="59" t="str">
        <f t="shared" si="16"/>
        <v>The Fall of Yugoslavia: The Third Balkan War,</v>
      </c>
      <c r="C781" s="32" t="s">
        <v>10</v>
      </c>
      <c r="D781" s="33"/>
      <c r="E781" s="33"/>
      <c r="F781" s="33" t="s">
        <v>51</v>
      </c>
      <c r="G781" s="36"/>
      <c r="H781" s="60" t="s">
        <v>1444</v>
      </c>
      <c r="I781" s="36"/>
      <c r="J781" s="36" t="s">
        <v>1445</v>
      </c>
      <c r="K781" s="60" t="str">
        <f t="shared" si="17"/>
        <v>The Fall of Yugoslavia: The Third Balkan War, by Misha Glenny</v>
      </c>
    </row>
    <row r="782" outlineLevel="1">
      <c r="A782" s="30"/>
      <c r="B782" s="59" t="str">
        <f t="shared" si="16"/>
        <v>The Family Trade</v>
      </c>
      <c r="C782" s="32" t="s">
        <v>10</v>
      </c>
      <c r="D782" s="33"/>
      <c r="E782" s="33"/>
      <c r="F782" s="33" t="s">
        <v>51</v>
      </c>
      <c r="G782" s="36"/>
      <c r="H782" s="60" t="s">
        <v>346</v>
      </c>
      <c r="I782" s="36"/>
      <c r="J782" s="36" t="s">
        <v>1446</v>
      </c>
      <c r="K782" s="60" t="str">
        <f t="shared" si="17"/>
        <v>The Family Trade by Charles Stross</v>
      </c>
    </row>
    <row r="783" outlineLevel="1">
      <c r="A783" s="30"/>
      <c r="B783" s="59" t="str">
        <f t="shared" si="16"/>
        <v>The Family Upstairs: A Novel</v>
      </c>
      <c r="C783" s="32" t="s">
        <v>10</v>
      </c>
      <c r="D783" s="33"/>
      <c r="E783" s="33"/>
      <c r="F783" s="33" t="s">
        <v>51</v>
      </c>
      <c r="G783" s="36"/>
      <c r="H783" s="60" t="s">
        <v>1447</v>
      </c>
      <c r="I783" s="36"/>
      <c r="J783" s="36" t="s">
        <v>1448</v>
      </c>
      <c r="K783" s="60" t="str">
        <f t="shared" si="17"/>
        <v>The Family Upstairs: A Novel by Lisa Jewell</v>
      </c>
    </row>
    <row r="784" outlineLevel="1">
      <c r="A784" s="30"/>
      <c r="B784" s="59" t="str">
        <f t="shared" si="16"/>
        <v>The Fearless Organization: Creating Psychological Safety in the Workplace for Learning, Innovation, and Growth</v>
      </c>
      <c r="C784" s="32" t="s">
        <v>10</v>
      </c>
      <c r="D784" s="33"/>
      <c r="E784" s="33"/>
      <c r="F784" s="33" t="s">
        <v>51</v>
      </c>
      <c r="G784" s="36"/>
      <c r="H784" s="60" t="s">
        <v>1449</v>
      </c>
      <c r="I784" s="36"/>
      <c r="J784" s="36" t="s">
        <v>1450</v>
      </c>
      <c r="K784" s="60" t="str">
        <f t="shared" si="17"/>
        <v>The Fearless Organization: Creating Psychological Safety in the Workplace for Learning, Innovation, and Growth by Amy C. Edmondson</v>
      </c>
    </row>
    <row r="785" outlineLevel="1">
      <c r="A785" s="30"/>
      <c r="B785" s="59" t="str">
        <f t="shared" si="16"/>
        <v>The Federal Judiciary: Strengths and Weaknesses</v>
      </c>
      <c r="C785" s="32" t="s">
        <v>10</v>
      </c>
      <c r="D785" s="33"/>
      <c r="E785" s="33"/>
      <c r="F785" s="33" t="s">
        <v>51</v>
      </c>
      <c r="G785" s="36"/>
      <c r="H785" s="60" t="s">
        <v>1451</v>
      </c>
      <c r="I785" s="36"/>
      <c r="J785" s="36" t="s">
        <v>1452</v>
      </c>
      <c r="K785" s="60" t="str">
        <f t="shared" si="17"/>
        <v>The Federal Judiciary: Strengths and Weaknesses by Richard A. Posner</v>
      </c>
    </row>
    <row r="786" outlineLevel="1">
      <c r="A786" s="30"/>
      <c r="B786" s="59" t="str">
        <f t="shared" si="16"/>
        <v>The Fifth Season </v>
      </c>
      <c r="C786" s="32" t="s">
        <v>10</v>
      </c>
      <c r="D786" s="33"/>
      <c r="E786" s="33"/>
      <c r="F786" s="33" t="s">
        <v>51</v>
      </c>
      <c r="G786" s="36" t="s">
        <v>1453</v>
      </c>
      <c r="H786" s="60" t="s">
        <v>1392</v>
      </c>
      <c r="I786" s="36"/>
      <c r="J786" s="36" t="s">
        <v>1454</v>
      </c>
      <c r="K786" s="60" t="str">
        <f t="shared" si="17"/>
        <v>The Fifth Season  by N. K. Jemisin</v>
      </c>
    </row>
    <row r="787" outlineLevel="1">
      <c r="A787" s="30"/>
      <c r="B787" s="59" t="str">
        <f t="shared" si="16"/>
        <v>The Five People You Meet in Heaven</v>
      </c>
      <c r="C787" s="32" t="s">
        <v>10</v>
      </c>
      <c r="D787" s="33"/>
      <c r="E787" s="33"/>
      <c r="F787" s="33" t="s">
        <v>51</v>
      </c>
      <c r="G787" s="36"/>
      <c r="H787" s="60" t="s">
        <v>1455</v>
      </c>
      <c r="I787" s="36"/>
      <c r="J787" s="36" t="s">
        <v>1456</v>
      </c>
      <c r="K787" s="60" t="str">
        <f t="shared" si="17"/>
        <v>The Five People You Meet in Heaven by Mitch Albom</v>
      </c>
    </row>
    <row r="788" outlineLevel="1">
      <c r="A788" s="30"/>
      <c r="B788" s="59" t="str">
        <f t="shared" si="16"/>
        <v>The Flamethrowers: A Novel</v>
      </c>
      <c r="C788" s="32" t="s">
        <v>10</v>
      </c>
      <c r="D788" s="33"/>
      <c r="E788" s="33"/>
      <c r="F788" s="33" t="s">
        <v>51</v>
      </c>
      <c r="G788" s="36"/>
      <c r="H788" s="60" t="s">
        <v>1457</v>
      </c>
      <c r="I788" s="36"/>
      <c r="J788" s="36" t="s">
        <v>1458</v>
      </c>
      <c r="K788" s="60" t="str">
        <f t="shared" si="17"/>
        <v>The Flamethrowers: A Novel by Rachel Kushner</v>
      </c>
    </row>
    <row r="789" outlineLevel="1">
      <c r="A789" s="30"/>
      <c r="B789" s="59" t="str">
        <f t="shared" si="16"/>
        <v>The Flight Portfolio: A novel</v>
      </c>
      <c r="C789" s="32" t="s">
        <v>10</v>
      </c>
      <c r="D789" s="33"/>
      <c r="E789" s="33"/>
      <c r="F789" s="33" t="s">
        <v>51</v>
      </c>
      <c r="G789" s="36"/>
      <c r="H789" s="60" t="s">
        <v>1459</v>
      </c>
      <c r="I789" s="36"/>
      <c r="J789" s="36" t="s">
        <v>1460</v>
      </c>
      <c r="K789" s="60" t="str">
        <f t="shared" si="17"/>
        <v>The Flight Portfolio: A novel by Julie Orringer</v>
      </c>
    </row>
    <row r="790" outlineLevel="1">
      <c r="A790" s="30"/>
      <c r="B790" s="59" t="str">
        <f t="shared" si="16"/>
        <v>The Fold: A Novel</v>
      </c>
      <c r="C790" s="32" t="s">
        <v>10</v>
      </c>
      <c r="D790" s="33"/>
      <c r="E790" s="33"/>
      <c r="F790" s="33" t="s">
        <v>51</v>
      </c>
      <c r="G790" s="36"/>
      <c r="H790" s="60" t="s">
        <v>274</v>
      </c>
      <c r="I790" s="36"/>
      <c r="J790" s="36" t="s">
        <v>1461</v>
      </c>
      <c r="K790" s="60" t="str">
        <f t="shared" si="17"/>
        <v>The Fold: A Novel by Peter Clines</v>
      </c>
    </row>
    <row r="791" outlineLevel="1">
      <c r="A791" s="30"/>
      <c r="B791" s="59" t="str">
        <f t="shared" si="16"/>
        <v>The Forgetting Time: A Novel</v>
      </c>
      <c r="C791" s="32" t="s">
        <v>10</v>
      </c>
      <c r="D791" s="33"/>
      <c r="E791" s="33"/>
      <c r="F791" s="33" t="s">
        <v>51</v>
      </c>
      <c r="G791" s="36"/>
      <c r="H791" s="60" t="s">
        <v>1462</v>
      </c>
      <c r="I791" s="36"/>
      <c r="J791" s="36" t="s">
        <v>1463</v>
      </c>
      <c r="K791" s="60" t="str">
        <f t="shared" si="17"/>
        <v>The Forgetting Time: A Novel by Sharon Guskin</v>
      </c>
    </row>
    <row r="792" outlineLevel="1">
      <c r="A792" s="30"/>
      <c r="B792" s="59" t="str">
        <f t="shared" si="16"/>
        <v>The Forty Rules of Love: A Novel of Rumi</v>
      </c>
      <c r="C792" s="32" t="s">
        <v>10</v>
      </c>
      <c r="D792" s="33"/>
      <c r="E792" s="33"/>
      <c r="F792" s="33" t="s">
        <v>51</v>
      </c>
      <c r="G792" s="36"/>
      <c r="H792" s="60" t="s">
        <v>1464</v>
      </c>
      <c r="I792" s="36"/>
      <c r="J792" s="36" t="s">
        <v>1465</v>
      </c>
      <c r="K792" s="60" t="str">
        <f t="shared" si="17"/>
        <v>The Forty Rules of Love: A Novel of Rumi by Elif Shafak</v>
      </c>
    </row>
    <row r="793" outlineLevel="1">
      <c r="A793" s="30"/>
      <c r="B793" s="59" t="str">
        <f t="shared" si="16"/>
        <v>The Four Winds: A Novel</v>
      </c>
      <c r="C793" s="32" t="s">
        <v>10</v>
      </c>
      <c r="D793" s="33"/>
      <c r="E793" s="33"/>
      <c r="F793" s="33" t="s">
        <v>51</v>
      </c>
      <c r="G793" s="36"/>
      <c r="H793" s="60" t="s">
        <v>1466</v>
      </c>
      <c r="I793" s="36"/>
      <c r="J793" s="36" t="s">
        <v>1467</v>
      </c>
      <c r="K793" s="60" t="str">
        <f t="shared" si="17"/>
        <v>The Four Winds: A Novel by Kristin Hannah</v>
      </c>
    </row>
    <row r="794" outlineLevel="1">
      <c r="A794" s="30"/>
      <c r="B794" s="59" t="str">
        <f t="shared" si="16"/>
        <v>The Friend: A Novel</v>
      </c>
      <c r="C794" s="32" t="s">
        <v>10</v>
      </c>
      <c r="D794" s="33"/>
      <c r="E794" s="33"/>
      <c r="F794" s="33" t="s">
        <v>51</v>
      </c>
      <c r="G794" s="36"/>
      <c r="H794" s="60" t="s">
        <v>1468</v>
      </c>
      <c r="I794" s="36"/>
      <c r="J794" s="36" t="s">
        <v>1469</v>
      </c>
      <c r="K794" s="60" t="str">
        <f t="shared" si="17"/>
        <v>The Friend: A Novel by Sigrid Nunez</v>
      </c>
    </row>
    <row r="795" outlineLevel="1">
      <c r="A795" s="30"/>
      <c r="B795" s="59" t="str">
        <f t="shared" si="16"/>
        <v>The Fury</v>
      </c>
      <c r="C795" s="32" t="s">
        <v>10</v>
      </c>
      <c r="D795" s="33"/>
      <c r="E795" s="33"/>
      <c r="F795" s="33" t="s">
        <v>51</v>
      </c>
      <c r="G795" s="36"/>
      <c r="H795" s="60" t="s">
        <v>1470</v>
      </c>
      <c r="I795" s="36"/>
      <c r="J795" s="36" t="s">
        <v>1471</v>
      </c>
      <c r="K795" s="60" t="str">
        <f t="shared" si="17"/>
        <v>The Fury by Alex Michaelides</v>
      </c>
    </row>
    <row r="796" outlineLevel="1">
      <c r="A796" s="30"/>
      <c r="B796" s="59" t="str">
        <f t="shared" si="16"/>
        <v>The Garden of Evening Mists</v>
      </c>
      <c r="C796" s="32" t="s">
        <v>10</v>
      </c>
      <c r="D796" s="33"/>
      <c r="E796" s="33"/>
      <c r="F796" s="33" t="s">
        <v>51</v>
      </c>
      <c r="G796" s="36"/>
      <c r="H796" s="60" t="s">
        <v>1472</v>
      </c>
      <c r="I796" s="36"/>
      <c r="J796" s="36" t="s">
        <v>1473</v>
      </c>
      <c r="K796" s="60" t="str">
        <f t="shared" si="17"/>
        <v>The Garden of Evening Mists by Tan Twan Eng</v>
      </c>
    </row>
    <row r="797" outlineLevel="1">
      <c r="A797" s="30"/>
      <c r="B797" s="59" t="str">
        <f t="shared" si="16"/>
        <v>The Gene: An Intimate History</v>
      </c>
      <c r="C797" s="32" t="s">
        <v>22</v>
      </c>
      <c r="D797" s="33"/>
      <c r="E797" s="33"/>
      <c r="F797" s="33" t="s">
        <v>51</v>
      </c>
      <c r="G797" s="36"/>
      <c r="H797" s="60" t="s">
        <v>1428</v>
      </c>
      <c r="I797" s="36"/>
      <c r="J797" s="36" t="s">
        <v>1474</v>
      </c>
      <c r="K797" s="60" t="str">
        <f t="shared" si="17"/>
        <v>The Gene: An Intimate History by Siddhartha Mukherjee</v>
      </c>
    </row>
    <row r="798" outlineLevel="1">
      <c r="A798" s="30"/>
      <c r="B798" s="59" t="str">
        <f t="shared" si="16"/>
        <v>The Generosity Network: New Transformational Tools for Successful Fund-Raising</v>
      </c>
      <c r="C798" s="32" t="s">
        <v>10</v>
      </c>
      <c r="D798" s="33"/>
      <c r="E798" s="33"/>
      <c r="F798" s="33" t="s">
        <v>51</v>
      </c>
      <c r="G798" s="36"/>
      <c r="H798" s="60" t="s">
        <v>1475</v>
      </c>
      <c r="I798" s="36"/>
      <c r="J798" s="36" t="s">
        <v>1476</v>
      </c>
      <c r="K798" s="60" t="str">
        <f t="shared" si="17"/>
        <v>The Generosity Network: New Transformational Tools for Successful Fund-Raising by Jennifer McCrea, Jeffrey C. Walker</v>
      </c>
    </row>
    <row r="799" outlineLevel="1">
      <c r="A799" s="30"/>
      <c r="B799" s="59" t="str">
        <f t="shared" si="16"/>
        <v>The Genetic Book of the Dead: A Darwinian Reverie</v>
      </c>
      <c r="C799" s="32" t="s">
        <v>22</v>
      </c>
      <c r="D799" s="33"/>
      <c r="E799" s="33"/>
      <c r="F799" s="33" t="s">
        <v>51</v>
      </c>
      <c r="G799" s="36"/>
      <c r="H799" s="60" t="s">
        <v>1477</v>
      </c>
      <c r="I799" s="36"/>
      <c r="J799" s="36" t="s">
        <v>1478</v>
      </c>
      <c r="K799" s="60" t="str">
        <f t="shared" si="17"/>
        <v>The Genetic Book of the Dead: A Darwinian Reverie by Richard Dawkins, Jana Lenzova</v>
      </c>
    </row>
    <row r="800" outlineLevel="1">
      <c r="A800" s="30"/>
      <c r="B800" s="59" t="str">
        <f t="shared" si="16"/>
        <v>The Ghost Map: A Street, an Epidemic and the Hidden Power of Urban Networks.</v>
      </c>
      <c r="C800" s="32" t="s">
        <v>10</v>
      </c>
      <c r="D800" s="33"/>
      <c r="E800" s="33"/>
      <c r="F800" s="33" t="s">
        <v>51</v>
      </c>
      <c r="G800" s="36"/>
      <c r="H800" s="60" t="s">
        <v>1479</v>
      </c>
      <c r="I800" s="36"/>
      <c r="J800" s="36" t="s">
        <v>1480</v>
      </c>
      <c r="K800" s="60" t="str">
        <f t="shared" si="17"/>
        <v>The Ghost Map: A Street, an Epidemic and the Hidden Power of Urban Networks. by Steven Johnson</v>
      </c>
    </row>
    <row r="801" outlineLevel="1">
      <c r="A801" s="30"/>
      <c r="B801" s="59" t="str">
        <f t="shared" si="16"/>
        <v>The Ghost Road: Booker Prize Winner (A Novel) (Regeneration Book 3)</v>
      </c>
      <c r="C801" s="32" t="s">
        <v>10</v>
      </c>
      <c r="D801" s="33"/>
      <c r="E801" s="33"/>
      <c r="F801" s="33" t="s">
        <v>51</v>
      </c>
      <c r="G801" s="36"/>
      <c r="H801" s="60" t="s">
        <v>1149</v>
      </c>
      <c r="I801" s="36"/>
      <c r="J801" s="36" t="s">
        <v>1481</v>
      </c>
      <c r="K801" s="60" t="str">
        <f t="shared" si="17"/>
        <v>The Ghost Road: Booker Prize Winner (A Novel) (Regeneration Book 3) by Pat Barker</v>
      </c>
    </row>
    <row r="802" outlineLevel="1">
      <c r="A802" s="30"/>
      <c r="B802" s="59" t="str">
        <f t="shared" si="16"/>
        <v>The Ghosts of Cannae: Hannibal and the Darkest Hour of the Roman Republic</v>
      </c>
      <c r="C802" s="32" t="s">
        <v>22</v>
      </c>
      <c r="D802" s="33"/>
      <c r="E802" s="33"/>
      <c r="F802" s="33" t="s">
        <v>51</v>
      </c>
      <c r="G802" s="36"/>
      <c r="H802" s="60" t="s">
        <v>1482</v>
      </c>
      <c r="I802" s="36"/>
      <c r="J802" s="36" t="s">
        <v>1483</v>
      </c>
      <c r="K802" s="60" t="str">
        <f t="shared" si="17"/>
        <v>The Ghosts of Cannae: Hannibal and the Darkest Hour of the Roman Republic by Robert L. O'Connell</v>
      </c>
    </row>
    <row r="803" outlineLevel="1">
      <c r="A803" s="30"/>
      <c r="B803" s="59" t="str">
        <f t="shared" si="16"/>
        <v>The Girl With All the Gifts</v>
      </c>
      <c r="C803" s="32" t="s">
        <v>10</v>
      </c>
      <c r="D803" s="33"/>
      <c r="E803" s="33"/>
      <c r="F803" s="33" t="s">
        <v>51</v>
      </c>
      <c r="G803" s="36"/>
      <c r="H803" s="60" t="s">
        <v>1484</v>
      </c>
      <c r="I803" s="36"/>
      <c r="J803" s="36" t="s">
        <v>1485</v>
      </c>
      <c r="K803" s="60" t="str">
        <f t="shared" si="17"/>
        <v>The Girl With All the Gifts by M. R. Carey</v>
      </c>
    </row>
    <row r="804" outlineLevel="1">
      <c r="A804" s="30"/>
      <c r="B804" s="59" t="str">
        <f t="shared" si="16"/>
        <v>The Giver of Stars: Reese's Book Club: A Novel</v>
      </c>
      <c r="C804" s="32" t="s">
        <v>10</v>
      </c>
      <c r="D804" s="33"/>
      <c r="E804" s="33"/>
      <c r="F804" s="33" t="s">
        <v>51</v>
      </c>
      <c r="G804" s="36"/>
      <c r="H804" s="60" t="s">
        <v>974</v>
      </c>
      <c r="I804" s="36"/>
      <c r="J804" s="36" t="s">
        <v>1486</v>
      </c>
      <c r="K804" s="60" t="str">
        <f t="shared" si="17"/>
        <v>The Giver of Stars: Reese's Book Club: A Novel by Jojo Moyes</v>
      </c>
    </row>
    <row r="805" outlineLevel="1">
      <c r="A805" s="30"/>
      <c r="B805" s="59" t="str">
        <f t="shared" si="16"/>
        <v>The God Delusion</v>
      </c>
      <c r="C805" s="32" t="s">
        <v>22</v>
      </c>
      <c r="D805" s="33"/>
      <c r="E805" s="33"/>
      <c r="F805" s="33" t="s">
        <v>51</v>
      </c>
      <c r="G805" s="36"/>
      <c r="H805" s="60" t="s">
        <v>1487</v>
      </c>
      <c r="I805" s="36"/>
      <c r="J805" s="36" t="s">
        <v>1488</v>
      </c>
      <c r="K805" s="60" t="str">
        <f t="shared" si="17"/>
        <v>The God Delusion by Richard Dawkins</v>
      </c>
    </row>
    <row r="806" outlineLevel="1">
      <c r="A806" s="30"/>
      <c r="B806" s="59" t="str">
        <f t="shared" si="16"/>
        <v>The Good Lord Bird: A Novel</v>
      </c>
      <c r="C806" s="32" t="s">
        <v>10</v>
      </c>
      <c r="D806" s="33"/>
      <c r="E806" s="33"/>
      <c r="F806" s="33" t="s">
        <v>51</v>
      </c>
      <c r="G806" s="36"/>
      <c r="H806" s="60" t="s">
        <v>598</v>
      </c>
      <c r="I806" s="36"/>
      <c r="J806" s="36" t="s">
        <v>1489</v>
      </c>
      <c r="K806" s="60" t="str">
        <f t="shared" si="17"/>
        <v>The Good Lord Bird: A Novel by James McBride</v>
      </c>
    </row>
    <row r="807" outlineLevel="1">
      <c r="A807" s="30"/>
      <c r="B807" s="59" t="str">
        <f t="shared" si="16"/>
        <v>The Good Thief: A Novel</v>
      </c>
      <c r="C807" s="32" t="s">
        <v>10</v>
      </c>
      <c r="D807" s="33"/>
      <c r="E807" s="33"/>
      <c r="F807" s="33" t="s">
        <v>51</v>
      </c>
      <c r="G807" s="36"/>
      <c r="H807" s="60" t="s">
        <v>1490</v>
      </c>
      <c r="I807" s="36"/>
      <c r="J807" s="36" t="s">
        <v>1491</v>
      </c>
      <c r="K807" s="60" t="str">
        <f t="shared" si="17"/>
        <v>The Good Thief: A Novel by Hannah Tinti</v>
      </c>
    </row>
    <row r="808" outlineLevel="1">
      <c r="A808" s="30"/>
      <c r="B808" s="59" t="str">
        <f t="shared" si="16"/>
        <v>The Good Wife</v>
      </c>
      <c r="C808" s="32" t="s">
        <v>10</v>
      </c>
      <c r="D808" s="33"/>
      <c r="E808" s="33"/>
      <c r="F808" s="33" t="s">
        <v>51</v>
      </c>
      <c r="G808" s="36"/>
      <c r="H808" s="60" t="s">
        <v>1492</v>
      </c>
      <c r="I808" s="36"/>
      <c r="J808" s="36" t="s">
        <v>1493</v>
      </c>
      <c r="K808" s="60" t="str">
        <f t="shared" si="17"/>
        <v>The Good Wife by Jane Porter</v>
      </c>
    </row>
    <row r="809" outlineLevel="1">
      <c r="A809" s="30"/>
      <c r="B809" s="59" t="str">
        <f t="shared" si="16"/>
        <v>The Goodness Paradox: The Strange Relationship Between Virtue and Violence in Human Evolution</v>
      </c>
      <c r="C809" s="32" t="s">
        <v>22</v>
      </c>
      <c r="D809" s="33"/>
      <c r="E809" s="33"/>
      <c r="F809" s="33" t="s">
        <v>51</v>
      </c>
      <c r="G809" s="36"/>
      <c r="H809" s="60" t="s">
        <v>1494</v>
      </c>
      <c r="I809" s="36"/>
      <c r="J809" s="36" t="s">
        <v>1495</v>
      </c>
      <c r="K809" s="60" t="str">
        <f t="shared" si="17"/>
        <v>The Goodness Paradox: The Strange Relationship Between Virtue and Violence in Human Evolution by Richard Wrangham</v>
      </c>
    </row>
    <row r="810" outlineLevel="1">
      <c r="A810" s="30"/>
      <c r="B810" s="59" t="str">
        <f t="shared" si="16"/>
        <v>The Great Alone: A Novel</v>
      </c>
      <c r="C810" s="32" t="s">
        <v>10</v>
      </c>
      <c r="D810" s="33"/>
      <c r="E810" s="33"/>
      <c r="F810" s="33" t="s">
        <v>51</v>
      </c>
      <c r="G810" s="36"/>
      <c r="H810" s="60" t="s">
        <v>1466</v>
      </c>
      <c r="I810" s="36"/>
      <c r="J810" s="36" t="s">
        <v>1496</v>
      </c>
      <c r="K810" s="60" t="str">
        <f t="shared" si="17"/>
        <v>The Great Alone: A Novel by Kristin Hannah</v>
      </c>
    </row>
    <row r="811" outlineLevel="1">
      <c r="A811" s="30"/>
      <c r="B811" s="59" t="str">
        <f t="shared" si="16"/>
        <v>THE GREAT ENDARKENMENT</v>
      </c>
      <c r="C811" s="32" t="s">
        <v>10</v>
      </c>
      <c r="D811" s="33"/>
      <c r="E811" s="33"/>
      <c r="F811" s="33" t="s">
        <v>51</v>
      </c>
      <c r="G811" s="36"/>
      <c r="H811" s="60" t="s">
        <v>1497</v>
      </c>
      <c r="I811" s="36"/>
      <c r="J811" s="36" t="s">
        <v>1498</v>
      </c>
      <c r="K811" s="60" t="str">
        <f t="shared" si="17"/>
        <v>THE GREAT ENDARKENMENT by MILLGRAM</v>
      </c>
    </row>
    <row r="812" outlineLevel="1">
      <c r="A812" s="30"/>
      <c r="B812" s="59" t="str">
        <f t="shared" si="16"/>
        <v>The Guardians: A Novel</v>
      </c>
      <c r="C812" s="32" t="s">
        <v>10</v>
      </c>
      <c r="D812" s="33"/>
      <c r="E812" s="33"/>
      <c r="F812" s="33" t="s">
        <v>51</v>
      </c>
      <c r="G812" s="36"/>
      <c r="H812" s="60" t="s">
        <v>1170</v>
      </c>
      <c r="I812" s="36"/>
      <c r="J812" s="36" t="s">
        <v>1499</v>
      </c>
      <c r="K812" s="60" t="str">
        <f t="shared" si="17"/>
        <v>The Guardians: A Novel by John Grisham</v>
      </c>
    </row>
    <row r="813" outlineLevel="1">
      <c r="A813" s="30"/>
      <c r="B813" s="59" t="str">
        <f t="shared" si="16"/>
        <v>The Guns at Last Light: The War in Western Europe, 1944-1945</v>
      </c>
      <c r="C813" s="32" t="s">
        <v>22</v>
      </c>
      <c r="D813" s="33"/>
      <c r="E813" s="33"/>
      <c r="F813" s="33" t="s">
        <v>51</v>
      </c>
      <c r="G813" s="36" t="s">
        <v>1500</v>
      </c>
      <c r="H813" s="60" t="s">
        <v>118</v>
      </c>
      <c r="I813" s="36"/>
      <c r="J813" s="36" t="s">
        <v>1501</v>
      </c>
      <c r="K813" s="60" t="str">
        <f t="shared" si="17"/>
        <v>The Guns at Last Light: The War in Western Europe, 1944-1945 by Rick Atkinson</v>
      </c>
    </row>
    <row r="814" outlineLevel="1">
      <c r="A814" s="30"/>
      <c r="B814" s="59" t="str">
        <f t="shared" si="16"/>
        <v>The Gutenberg Parenthesis: The Age of Print and Its Lessons for the Age of the Internet</v>
      </c>
      <c r="C814" s="32" t="s">
        <v>22</v>
      </c>
      <c r="D814" s="33"/>
      <c r="E814" s="33"/>
      <c r="F814" s="33" t="s">
        <v>51</v>
      </c>
      <c r="G814" s="36"/>
      <c r="H814" s="60" t="s">
        <v>1502</v>
      </c>
      <c r="I814" s="36"/>
      <c r="J814" s="36" t="s">
        <v>1503</v>
      </c>
      <c r="K814" s="60" t="str">
        <f t="shared" si="17"/>
        <v>The Gutenberg Parenthesis: The Age of Print and Its Lessons for the Age of the Internet by Jeff Jarvis</v>
      </c>
    </row>
    <row r="815" outlineLevel="1">
      <c r="A815" s="30"/>
      <c r="B815" s="59" t="str">
        <f t="shared" si="16"/>
        <v>The Gutenberg Revolution: How Printing Changed the Course of History</v>
      </c>
      <c r="C815" s="32" t="s">
        <v>22</v>
      </c>
      <c r="D815" s="33"/>
      <c r="E815" s="33"/>
      <c r="F815" s="33" t="s">
        <v>51</v>
      </c>
      <c r="G815" s="36"/>
      <c r="H815" s="60" t="s">
        <v>1504</v>
      </c>
      <c r="I815" s="36"/>
      <c r="J815" s="36" t="s">
        <v>1505</v>
      </c>
      <c r="K815" s="60" t="str">
        <f t="shared" si="17"/>
        <v>The Gutenberg Revolution: How Printing Changed the Course of History by John Man</v>
      </c>
    </row>
    <row r="816" outlineLevel="1">
      <c r="A816" s="30"/>
      <c r="B816" s="59" t="str">
        <f t="shared" si="16"/>
        <v>The Hallmarked Man: A Cormoran Strike Novel</v>
      </c>
      <c r="C816" s="32" t="s">
        <v>10</v>
      </c>
      <c r="D816" s="33"/>
      <c r="E816" s="33"/>
      <c r="F816" s="33" t="s">
        <v>51</v>
      </c>
      <c r="G816" s="36"/>
      <c r="H816" s="60" t="s">
        <v>1506</v>
      </c>
      <c r="I816" s="36"/>
      <c r="J816" s="36" t="s">
        <v>1507</v>
      </c>
      <c r="K816" s="60" t="str">
        <f t="shared" si="17"/>
        <v>The Hallmarked Man: A Cormoran Strike Novel by Robert Galbraith</v>
      </c>
    </row>
    <row r="817" outlineLevel="1">
      <c r="A817" s="30"/>
      <c r="B817" s="59" t="str">
        <f t="shared" si="16"/>
        <v>The Happiness Hypothesis: Finding Modern Truth in Ancient Wisdom</v>
      </c>
      <c r="C817" s="32" t="s">
        <v>22</v>
      </c>
      <c r="D817" s="33"/>
      <c r="E817" s="33"/>
      <c r="F817" s="33" t="s">
        <v>51</v>
      </c>
      <c r="G817" s="36"/>
      <c r="H817" s="60" t="s">
        <v>1508</v>
      </c>
      <c r="I817" s="36"/>
      <c r="J817" s="36" t="s">
        <v>1509</v>
      </c>
      <c r="K817" s="60" t="str">
        <f t="shared" si="17"/>
        <v>The Happiness Hypothesis: Finding Modern Truth in Ancient Wisdom by Jonathan Haidt</v>
      </c>
    </row>
    <row r="818" outlineLevel="1">
      <c r="A818" s="30"/>
      <c r="B818" s="59" t="str">
        <f t="shared" si="16"/>
        <v>The Happiness Hypothesis: Finding Modern Truth in Ancient Wisdom</v>
      </c>
      <c r="C818" s="32" t="s">
        <v>22</v>
      </c>
      <c r="D818" s="33"/>
      <c r="E818" s="33"/>
      <c r="F818" s="33" t="s">
        <v>51</v>
      </c>
      <c r="G818" s="36"/>
      <c r="H818" s="60" t="s">
        <v>1510</v>
      </c>
      <c r="I818" s="36"/>
      <c r="J818" s="36" t="s">
        <v>1509</v>
      </c>
      <c r="K818" s="60" t="str">
        <f t="shared" si="17"/>
        <v>The Happiness Hypothesis: Finding Modern Truth in Ancient Wisdom by Ryan Vincent Anderson, Jonathan Haidt</v>
      </c>
    </row>
    <row r="819" outlineLevel="1">
      <c r="A819" s="30"/>
      <c r="B819" s="59" t="str">
        <f t="shared" si="16"/>
        <v>The Happiness Project (Revised Edition): Or, Why I Spent a Year Trying to Sing in the Morning, Clean My Closets, Fight Right, Read Aristotle, and Generally Have More Fun</v>
      </c>
      <c r="C819" s="32" t="s">
        <v>10</v>
      </c>
      <c r="D819" s="33"/>
      <c r="E819" s="33"/>
      <c r="F819" s="33" t="s">
        <v>51</v>
      </c>
      <c r="G819" s="36"/>
      <c r="H819" s="60" t="s">
        <v>1511</v>
      </c>
      <c r="I819" s="36"/>
      <c r="J819" s="36" t="s">
        <v>1512</v>
      </c>
      <c r="K819" s="60" t="str">
        <f t="shared" si="17"/>
        <v>The Happiness Project (Revised Edition): Or, Why I Spent a Year Trying to Sing in the Morning, Clean My Closets, Fight Right, Read Aristotle, and Generally Have More Fun by Gretchen Rubin</v>
      </c>
    </row>
    <row r="820" outlineLevel="1">
      <c r="A820" s="30"/>
      <c r="B820" s="59" t="str">
        <f t="shared" si="16"/>
        <v>The Hard Thing About Hard Things: Building a Business When There Are No Easy Answers―Straight Talk on the Challenges of Entrepreneurship</v>
      </c>
      <c r="C820" s="32" t="s">
        <v>10</v>
      </c>
      <c r="D820" s="33"/>
      <c r="E820" s="33"/>
      <c r="F820" s="33" t="s">
        <v>51</v>
      </c>
      <c r="G820" s="36"/>
      <c r="H820" s="60" t="s">
        <v>1513</v>
      </c>
      <c r="I820" s="36"/>
      <c r="J820" s="36" t="s">
        <v>1514</v>
      </c>
      <c r="K820" s="60" t="str">
        <f t="shared" si="17"/>
        <v>The Hard Thing About Hard Things: Building a Business When There Are No Easy Answers―Straight Talk on the Challenges of Entrepreneurship by Ben Horowitz</v>
      </c>
    </row>
    <row r="821" outlineLevel="1">
      <c r="A821" s="30"/>
      <c r="B821" s="59" t="str">
        <f t="shared" si="16"/>
        <v>The Hazel Wood: A Novel</v>
      </c>
      <c r="C821" s="32" t="s">
        <v>10</v>
      </c>
      <c r="D821" s="33"/>
      <c r="E821" s="33"/>
      <c r="F821" s="33" t="s">
        <v>51</v>
      </c>
      <c r="G821" s="36"/>
      <c r="H821" s="60" t="s">
        <v>1515</v>
      </c>
      <c r="I821" s="36"/>
      <c r="J821" s="36" t="s">
        <v>1516</v>
      </c>
      <c r="K821" s="60" t="str">
        <f t="shared" si="17"/>
        <v>The Hazel Wood: A Novel by Melissa Albert</v>
      </c>
    </row>
    <row r="822" outlineLevel="1">
      <c r="A822" s="30"/>
      <c r="B822" s="59" t="str">
        <f t="shared" si="16"/>
        <v>The Heart: A Novel</v>
      </c>
      <c r="C822" s="32" t="s">
        <v>10</v>
      </c>
      <c r="D822" s="33"/>
      <c r="E822" s="33"/>
      <c r="F822" s="33" t="s">
        <v>51</v>
      </c>
      <c r="G822" s="36"/>
      <c r="H822" s="60" t="s">
        <v>1517</v>
      </c>
      <c r="I822" s="36"/>
      <c r="J822" s="36" t="s">
        <v>1518</v>
      </c>
      <c r="K822" s="60" t="str">
        <f t="shared" si="17"/>
        <v>The Heart: A Novel by Maylis de Kerangal, Sam Taylor</v>
      </c>
    </row>
    <row r="823" outlineLevel="1">
      <c r="A823" s="30"/>
      <c r="B823" s="59" t="str">
        <f t="shared" si="16"/>
        <v>The Heroes</v>
      </c>
      <c r="C823" s="32" t="s">
        <v>10</v>
      </c>
      <c r="D823" s="33"/>
      <c r="E823" s="33"/>
      <c r="F823" s="33" t="s">
        <v>51</v>
      </c>
      <c r="G823" s="36"/>
      <c r="H823" s="60" t="s">
        <v>1519</v>
      </c>
      <c r="I823" s="36"/>
      <c r="J823" s="36" t="s">
        <v>1520</v>
      </c>
      <c r="K823" s="60" t="str">
        <f t="shared" si="17"/>
        <v>The Heroes by Joe Abercrombie</v>
      </c>
    </row>
    <row r="824" outlineLevel="1">
      <c r="A824" s="30"/>
      <c r="B824" s="59" t="str">
        <f t="shared" si="16"/>
        <v>The Hidden Girl and Other Stories</v>
      </c>
      <c r="C824" s="32" t="s">
        <v>10</v>
      </c>
      <c r="D824" s="33"/>
      <c r="E824" s="33"/>
      <c r="F824" s="33" t="s">
        <v>51</v>
      </c>
      <c r="G824" s="36"/>
      <c r="H824" s="60" t="s">
        <v>1521</v>
      </c>
      <c r="I824" s="36"/>
      <c r="J824" s="36" t="s">
        <v>1522</v>
      </c>
      <c r="K824" s="60" t="str">
        <f t="shared" si="17"/>
        <v>The Hidden Girl and Other Stories by Ken Liu</v>
      </c>
    </row>
    <row r="825" outlineLevel="1">
      <c r="A825" s="30"/>
      <c r="B825" s="59" t="str">
        <f t="shared" si="16"/>
        <v>The Hidden Life of Trees: What They Feel, How They Communicate―Discoveries from A Secret World</v>
      </c>
      <c r="C825" s="32" t="s">
        <v>22</v>
      </c>
      <c r="D825" s="33"/>
      <c r="E825" s="33"/>
      <c r="F825" s="33" t="s">
        <v>51</v>
      </c>
      <c r="G825" s="36"/>
      <c r="H825" s="60" t="s">
        <v>1523</v>
      </c>
      <c r="I825" s="36"/>
      <c r="J825" s="36" t="s">
        <v>1524</v>
      </c>
      <c r="K825" s="60" t="str">
        <f t="shared" si="17"/>
        <v>The Hidden Life of Trees: What They Feel, How They Communicate―Discoveries from A Secret World by Peter Wohlleben, Jane Billinghurst</v>
      </c>
    </row>
    <row r="826" outlineLevel="1">
      <c r="A826" s="30"/>
      <c r="B826" s="59" t="str">
        <f t="shared" si="16"/>
        <v>The Hot Hand: The Mystery and Science of Streaks – A WSJ Reporter's Entertaining Investigation into Psychology and Randomness</v>
      </c>
      <c r="C826" s="32" t="s">
        <v>22</v>
      </c>
      <c r="D826" s="33"/>
      <c r="E826" s="33"/>
      <c r="F826" s="33" t="s">
        <v>51</v>
      </c>
      <c r="G826" s="36"/>
      <c r="H826" s="60" t="s">
        <v>1525</v>
      </c>
      <c r="I826" s="36"/>
      <c r="J826" s="36" t="s">
        <v>1526</v>
      </c>
      <c r="K826" s="60" t="str">
        <f t="shared" si="17"/>
        <v>The Hot Hand: The Mystery and Science of Streaks – A WSJ Reporter's Entertaining Investigation into Psychology and Randomness by Ben Cohen</v>
      </c>
    </row>
    <row r="827" outlineLevel="1">
      <c r="A827" s="30"/>
      <c r="B827" s="59" t="str">
        <f t="shared" si="16"/>
        <v>The House in the Cerulean Sea (Cerulean Chronicles Book 1)</v>
      </c>
      <c r="C827" s="32" t="s">
        <v>10</v>
      </c>
      <c r="D827" s="33"/>
      <c r="E827" s="33"/>
      <c r="F827" s="33" t="s">
        <v>51</v>
      </c>
      <c r="G827" s="36"/>
      <c r="H827" s="60" t="s">
        <v>1527</v>
      </c>
      <c r="I827" s="36"/>
      <c r="J827" s="36" t="s">
        <v>1528</v>
      </c>
      <c r="K827" s="60" t="str">
        <f t="shared" si="17"/>
        <v>The House in the Cerulean Sea (Cerulean Chronicles Book 1) by TJ Klune</v>
      </c>
    </row>
    <row r="828" outlineLevel="1">
      <c r="A828" s="30"/>
      <c r="B828" s="59" t="str">
        <f t="shared" si="16"/>
        <v>The Hundred Years' War on Palestine: A History of Settler Colonialism and Resistance, 1917--2017</v>
      </c>
      <c r="C828" s="32" t="s">
        <v>22</v>
      </c>
      <c r="D828" s="33"/>
      <c r="E828" s="33"/>
      <c r="F828" s="33" t="s">
        <v>51</v>
      </c>
      <c r="G828" s="36"/>
      <c r="H828" s="60" t="s">
        <v>1529</v>
      </c>
      <c r="I828" s="36"/>
      <c r="J828" s="36" t="s">
        <v>1530</v>
      </c>
      <c r="K828" s="60" t="str">
        <f t="shared" si="17"/>
        <v>The Hundred Years' War on Palestine: A History of Settler Colonialism and Resistance, 1917--2017 by Rashid Khalidi, Fajer Al-Kaisi</v>
      </c>
    </row>
    <row r="829" outlineLevel="1">
      <c r="A829" s="30"/>
      <c r="B829" s="59" t="str">
        <f t="shared" si="16"/>
        <v>The Husband's Secret</v>
      </c>
      <c r="C829" s="32" t="s">
        <v>10</v>
      </c>
      <c r="D829" s="33"/>
      <c r="E829" s="33"/>
      <c r="F829" s="33" t="s">
        <v>51</v>
      </c>
      <c r="G829" s="36"/>
      <c r="H829" s="60" t="s">
        <v>1531</v>
      </c>
      <c r="I829" s="36"/>
      <c r="J829" s="36" t="s">
        <v>1532</v>
      </c>
      <c r="K829" s="60" t="str">
        <f t="shared" si="17"/>
        <v>The Husband's Secret by Liane Moriarty</v>
      </c>
    </row>
    <row r="830" outlineLevel="1">
      <c r="A830" s="30"/>
      <c r="B830" s="59" t="str">
        <f t="shared" si="16"/>
        <v>The Hydrogen Sonata </v>
      </c>
      <c r="C830" s="32" t="s">
        <v>10</v>
      </c>
      <c r="D830" s="33"/>
      <c r="E830" s="33"/>
      <c r="F830" s="33" t="s">
        <v>51</v>
      </c>
      <c r="G830" s="36" t="s">
        <v>1533</v>
      </c>
      <c r="H830" s="60" t="s">
        <v>1534</v>
      </c>
      <c r="I830" s="36"/>
      <c r="J830" s="36" t="s">
        <v>1535</v>
      </c>
      <c r="K830" s="60" t="str">
        <f t="shared" si="17"/>
        <v>The Hydrogen Sonata  by Iain M. Banks</v>
      </c>
    </row>
    <row r="831" outlineLevel="1">
      <c r="A831" s="30"/>
      <c r="B831" s="59" t="str">
        <f t="shared" si="16"/>
        <v>The Indifferent Stars Above: The Harrowing Saga of the Donner Party</v>
      </c>
      <c r="C831" s="32" t="s">
        <v>10</v>
      </c>
      <c r="D831" s="33"/>
      <c r="E831" s="33"/>
      <c r="F831" s="33" t="s">
        <v>51</v>
      </c>
      <c r="G831" s="36"/>
      <c r="H831" s="60" t="s">
        <v>1536</v>
      </c>
      <c r="I831" s="36"/>
      <c r="J831" s="36" t="s">
        <v>1537</v>
      </c>
      <c r="K831" s="60" t="str">
        <f t="shared" si="17"/>
        <v>The Indifferent Stars Above: The Harrowing Saga of the Donner Party by Daniel James Brown</v>
      </c>
    </row>
    <row r="832" outlineLevel="1">
      <c r="A832" s="30"/>
      <c r="B832" s="59" t="str">
        <f t="shared" si="16"/>
        <v>The Industries of the Future</v>
      </c>
      <c r="C832" s="32" t="s">
        <v>10</v>
      </c>
      <c r="D832" s="33"/>
      <c r="E832" s="33"/>
      <c r="F832" s="33" t="s">
        <v>51</v>
      </c>
      <c r="G832" s="36"/>
      <c r="H832" s="60" t="s">
        <v>1538</v>
      </c>
      <c r="I832" s="36"/>
      <c r="J832" s="36" t="s">
        <v>1539</v>
      </c>
      <c r="K832" s="60" t="str">
        <f t="shared" si="17"/>
        <v>The Industries of the Future by Alec Ross</v>
      </c>
    </row>
    <row r="833" outlineLevel="1">
      <c r="A833" s="30"/>
      <c r="B833" s="59" t="str">
        <f t="shared" si="16"/>
        <v>The Inner Work of Age: Shifting from Role to Soul</v>
      </c>
      <c r="C833" s="32" t="s">
        <v>22</v>
      </c>
      <c r="D833" s="33"/>
      <c r="E833" s="33"/>
      <c r="F833" s="33" t="s">
        <v>51</v>
      </c>
      <c r="G833" s="36"/>
      <c r="H833" s="60" t="s">
        <v>1540</v>
      </c>
      <c r="I833" s="36"/>
      <c r="J833" s="36" t="s">
        <v>1541</v>
      </c>
      <c r="K833" s="60" t="str">
        <f t="shared" si="17"/>
        <v>The Inner Work of Age: Shifting from Role to Soul by Connie Zweig, Harry R. Moody</v>
      </c>
    </row>
    <row r="834" outlineLevel="1">
      <c r="A834" s="30"/>
      <c r="B834" s="59" t="str">
        <f t="shared" si="16"/>
        <v>The Innovators: How a Group of Hackers, Geniuses, and Geeks Created the Digital Revolution</v>
      </c>
      <c r="C834" s="32" t="s">
        <v>22</v>
      </c>
      <c r="D834" s="33"/>
      <c r="E834" s="33"/>
      <c r="F834" s="33" t="s">
        <v>51</v>
      </c>
      <c r="G834" s="36"/>
      <c r="H834" s="60" t="s">
        <v>461</v>
      </c>
      <c r="I834" s="36"/>
      <c r="J834" s="36" t="s">
        <v>1542</v>
      </c>
      <c r="K834" s="60" t="str">
        <f t="shared" si="17"/>
        <v>The Innovators: How a Group of Hackers, Geniuses, and Geeks Created the Digital Revolution by Walter Isaacson</v>
      </c>
    </row>
    <row r="835" outlineLevel="1">
      <c r="A835" s="30"/>
      <c r="B835" s="59" t="str">
        <f t="shared" si="16"/>
        <v>The Invisible Lion</v>
      </c>
      <c r="C835" s="32" t="s">
        <v>10</v>
      </c>
      <c r="D835" s="33"/>
      <c r="E835" s="33"/>
      <c r="F835" s="33" t="s">
        <v>51</v>
      </c>
      <c r="G835" s="36"/>
      <c r="H835" s="60" t="s">
        <v>1543</v>
      </c>
      <c r="I835" s="36"/>
      <c r="J835" s="36" t="s">
        <v>1544</v>
      </c>
      <c r="K835" s="60" t="str">
        <f t="shared" si="17"/>
        <v>The Invisible Lion by Benjamin Fry</v>
      </c>
    </row>
    <row r="836" outlineLevel="1">
      <c r="A836" s="30"/>
      <c r="B836" s="59" t="str">
        <f t="shared" si="16"/>
        <v>The Island</v>
      </c>
      <c r="C836" s="32" t="s">
        <v>10</v>
      </c>
      <c r="D836" s="33"/>
      <c r="E836" s="33"/>
      <c r="F836" s="33" t="s">
        <v>51</v>
      </c>
      <c r="G836" s="36"/>
      <c r="H836" s="60" t="s">
        <v>1545</v>
      </c>
      <c r="I836" s="36"/>
      <c r="J836" s="36" t="s">
        <v>1546</v>
      </c>
      <c r="K836" s="60" t="str">
        <f t="shared" si="17"/>
        <v>The Island by Adrian McKinty</v>
      </c>
    </row>
    <row r="837" outlineLevel="1">
      <c r="A837" s="30"/>
      <c r="B837" s="59" t="str">
        <f t="shared" si="16"/>
        <v>The Joy of Not Working: A Book for the Retired, Unemployed and Overworked- 21st Century Edition</v>
      </c>
      <c r="C837" s="32" t="s">
        <v>10</v>
      </c>
      <c r="D837" s="33"/>
      <c r="E837" s="33"/>
      <c r="F837" s="33" t="s">
        <v>51</v>
      </c>
      <c r="G837" s="36"/>
      <c r="H837" s="60" t="s">
        <v>1547</v>
      </c>
      <c r="I837" s="36"/>
      <c r="J837" s="36" t="s">
        <v>1548</v>
      </c>
      <c r="K837" s="60" t="str">
        <f t="shared" si="17"/>
        <v>The Joy of Not Working: A Book for the Retired, Unemployed and Overworked- 21st Century Edition by Ernie J. Zelinski</v>
      </c>
    </row>
    <row r="838" outlineLevel="1">
      <c r="A838" s="30"/>
      <c r="B838" s="59" t="str">
        <f t="shared" si="16"/>
        <v>The Kill Chain: Defending America in the Future of High-Tech Warfare</v>
      </c>
      <c r="C838" s="32" t="s">
        <v>22</v>
      </c>
      <c r="D838" s="33"/>
      <c r="E838" s="33"/>
      <c r="F838" s="33" t="s">
        <v>51</v>
      </c>
      <c r="G838" s="36"/>
      <c r="H838" s="60" t="s">
        <v>1549</v>
      </c>
      <c r="I838" s="36"/>
      <c r="J838" s="36" t="s">
        <v>1550</v>
      </c>
      <c r="K838" s="60" t="str">
        <f t="shared" si="17"/>
        <v>The Kill Chain: Defending America in the Future of High-Tech Warfare by Christian Brose</v>
      </c>
    </row>
    <row r="839" outlineLevel="1">
      <c r="A839" s="30"/>
      <c r="B839" s="59" t="str">
        <f t="shared" si="16"/>
        <v>The Killer Angels</v>
      </c>
      <c r="C839" s="32" t="s">
        <v>10</v>
      </c>
      <c r="D839" s="33"/>
      <c r="E839" s="33"/>
      <c r="F839" s="33" t="s">
        <v>51</v>
      </c>
      <c r="G839" s="36" t="s">
        <v>1551</v>
      </c>
      <c r="H839" s="60" t="s">
        <v>1552</v>
      </c>
      <c r="I839" s="36"/>
      <c r="J839" s="36" t="s">
        <v>1553</v>
      </c>
      <c r="K839" s="60" t="str">
        <f t="shared" si="17"/>
        <v>The Killer Angels by Michael Shaara</v>
      </c>
    </row>
    <row r="840" outlineLevel="1">
      <c r="A840" s="30"/>
      <c r="B840" s="59" t="str">
        <f t="shared" si="16"/>
        <v>The Ladies' Paradise</v>
      </c>
      <c r="C840" s="32" t="s">
        <v>10</v>
      </c>
      <c r="D840" s="33"/>
      <c r="E840" s="33"/>
      <c r="F840" s="33" t="s">
        <v>51</v>
      </c>
      <c r="G840" s="36"/>
      <c r="H840" s="60" t="s">
        <v>1554</v>
      </c>
      <c r="I840" s="36"/>
      <c r="J840" s="36" t="s">
        <v>1555</v>
      </c>
      <c r="K840" s="60" t="str">
        <f t="shared" si="17"/>
        <v>The Ladies' Paradise by Émile Zola, Brian Nelson</v>
      </c>
    </row>
    <row r="841" outlineLevel="1">
      <c r="A841" s="30"/>
      <c r="B841" s="59" t="str">
        <f t="shared" si="16"/>
        <v>The Language Instinct: How the Mind Creates Language</v>
      </c>
      <c r="C841" s="32" t="s">
        <v>10</v>
      </c>
      <c r="D841" s="33"/>
      <c r="E841" s="33"/>
      <c r="F841" s="33" t="s">
        <v>51</v>
      </c>
      <c r="G841" s="36"/>
      <c r="H841" s="60" t="s">
        <v>670</v>
      </c>
      <c r="I841" s="36"/>
      <c r="J841" s="36" t="s">
        <v>1556</v>
      </c>
      <c r="K841" s="60" t="str">
        <f t="shared" si="17"/>
        <v>The Language Instinct: How the Mind Creates Language by Steven Pinker</v>
      </c>
    </row>
    <row r="842" outlineLevel="1">
      <c r="A842" s="30"/>
      <c r="B842" s="59" t="str">
        <f t="shared" si="16"/>
        <v>The Last Black Unicorn (A Bestselling Comedian Memoir)</v>
      </c>
      <c r="C842" s="32" t="s">
        <v>10</v>
      </c>
      <c r="D842" s="33"/>
      <c r="E842" s="33"/>
      <c r="F842" s="33" t="s">
        <v>51</v>
      </c>
      <c r="G842" s="36"/>
      <c r="H842" s="60" t="s">
        <v>1557</v>
      </c>
      <c r="I842" s="36"/>
      <c r="J842" s="36" t="s">
        <v>1558</v>
      </c>
      <c r="K842" s="60" t="str">
        <f t="shared" si="17"/>
        <v>The Last Black Unicorn (A Bestselling Comedian Memoir) by Tiffany Haddish</v>
      </c>
    </row>
    <row r="843" outlineLevel="1">
      <c r="A843" s="30"/>
      <c r="B843" s="59" t="str">
        <f t="shared" si="16"/>
        <v>The Last Days of Ptolemy Grey</v>
      </c>
      <c r="C843" s="32" t="s">
        <v>10</v>
      </c>
      <c r="D843" s="33"/>
      <c r="E843" s="33"/>
      <c r="F843" s="33" t="s">
        <v>51</v>
      </c>
      <c r="G843" s="36"/>
      <c r="H843" s="60" t="s">
        <v>1559</v>
      </c>
      <c r="I843" s="36"/>
      <c r="J843" s="36" t="s">
        <v>1560</v>
      </c>
      <c r="K843" s="60" t="str">
        <f t="shared" si="17"/>
        <v>The Last Days of Ptolemy Grey by Walter Mosley</v>
      </c>
    </row>
    <row r="844" outlineLevel="1">
      <c r="A844" s="30"/>
      <c r="B844" s="59" t="str">
        <f t="shared" si="16"/>
        <v>The Last House on Needless Street</v>
      </c>
      <c r="C844" s="32" t="s">
        <v>10</v>
      </c>
      <c r="D844" s="33"/>
      <c r="E844" s="33"/>
      <c r="F844" s="33" t="s">
        <v>51</v>
      </c>
      <c r="G844" s="36"/>
      <c r="H844" s="60" t="s">
        <v>1561</v>
      </c>
      <c r="I844" s="36"/>
      <c r="J844" s="36" t="s">
        <v>1562</v>
      </c>
      <c r="K844" s="60" t="str">
        <f t="shared" si="17"/>
        <v>The Last House on Needless Street by Catriona Ward, Christopher Ragland</v>
      </c>
    </row>
    <row r="845" outlineLevel="1">
      <c r="A845" s="30"/>
      <c r="B845" s="59" t="str">
        <f t="shared" si="16"/>
        <v>The Law</v>
      </c>
      <c r="C845" s="32" t="s">
        <v>10</v>
      </c>
      <c r="D845" s="33"/>
      <c r="E845" s="33"/>
      <c r="F845" s="33" t="s">
        <v>51</v>
      </c>
      <c r="G845" s="36"/>
      <c r="H845" s="60" t="s">
        <v>1563</v>
      </c>
      <c r="I845" s="36"/>
      <c r="J845" s="36" t="s">
        <v>1564</v>
      </c>
      <c r="K845" s="60" t="str">
        <f t="shared" si="17"/>
        <v>The Law by Frederic Bastiat</v>
      </c>
    </row>
    <row r="846" outlineLevel="1">
      <c r="A846" s="30"/>
      <c r="B846" s="59" t="str">
        <f t="shared" si="16"/>
        <v>The Life We Bury</v>
      </c>
      <c r="C846" s="32" t="s">
        <v>10</v>
      </c>
      <c r="D846" s="33"/>
      <c r="E846" s="33"/>
      <c r="F846" s="33" t="s">
        <v>51</v>
      </c>
      <c r="G846" s="36"/>
      <c r="H846" s="60" t="s">
        <v>1565</v>
      </c>
      <c r="I846" s="36"/>
      <c r="J846" s="36" t="s">
        <v>1566</v>
      </c>
      <c r="K846" s="60" t="str">
        <f t="shared" si="17"/>
        <v>The Life We Bury by Allen Eskens</v>
      </c>
    </row>
    <row r="847" outlineLevel="1">
      <c r="A847" s="30"/>
      <c r="B847" s="59" t="str">
        <f t="shared" si="16"/>
        <v>The Lost Man</v>
      </c>
      <c r="C847" s="32" t="s">
        <v>10</v>
      </c>
      <c r="D847" s="33"/>
      <c r="E847" s="33"/>
      <c r="F847" s="33" t="s">
        <v>51</v>
      </c>
      <c r="G847" s="36"/>
      <c r="H847" s="60" t="s">
        <v>1567</v>
      </c>
      <c r="I847" s="36"/>
      <c r="J847" s="36" t="s">
        <v>1568</v>
      </c>
      <c r="K847" s="60" t="str">
        <f t="shared" si="17"/>
        <v>The Lost Man by Jane Harper</v>
      </c>
    </row>
    <row r="848" outlineLevel="1">
      <c r="A848" s="30"/>
      <c r="B848" s="59" t="str">
        <f t="shared" si="16"/>
        <v>The Lowland</v>
      </c>
      <c r="C848" s="32" t="s">
        <v>10</v>
      </c>
      <c r="D848" s="33"/>
      <c r="E848" s="33"/>
      <c r="F848" s="33" t="s">
        <v>51</v>
      </c>
      <c r="G848" s="36"/>
      <c r="H848" s="60" t="s">
        <v>1569</v>
      </c>
      <c r="I848" s="36"/>
      <c r="J848" s="36" t="s">
        <v>1570</v>
      </c>
      <c r="K848" s="60" t="str">
        <f t="shared" si="17"/>
        <v>The Lowland by Jhumpa Lahiri, Sunil Malhotra (Audio CD) |</v>
      </c>
    </row>
    <row r="849" outlineLevel="1">
      <c r="A849" s="30"/>
      <c r="B849" s="59" t="str">
        <f t="shared" si="16"/>
        <v>The Maidens: A Novel</v>
      </c>
      <c r="C849" s="32" t="s">
        <v>10</v>
      </c>
      <c r="D849" s="33"/>
      <c r="E849" s="33"/>
      <c r="F849" s="33" t="s">
        <v>51</v>
      </c>
      <c r="G849" s="36"/>
      <c r="H849" s="60" t="s">
        <v>1470</v>
      </c>
      <c r="I849" s="36"/>
      <c r="J849" s="36" t="s">
        <v>1571</v>
      </c>
      <c r="K849" s="60" t="str">
        <f t="shared" si="17"/>
        <v>The Maidens: A Novel by Alex Michaelides</v>
      </c>
    </row>
    <row r="850" outlineLevel="1">
      <c r="A850" s="30"/>
      <c r="B850" s="59" t="str">
        <f t="shared" si="16"/>
        <v>The Man Who Counted Infinity and Other Short Stories from Science, History and Philosophy</v>
      </c>
      <c r="C850" s="32" t="s">
        <v>10</v>
      </c>
      <c r="D850" s="33"/>
      <c r="E850" s="33"/>
      <c r="F850" s="33" t="s">
        <v>51</v>
      </c>
      <c r="G850" s="36"/>
      <c r="H850" s="60" t="s">
        <v>1572</v>
      </c>
      <c r="I850" s="36"/>
      <c r="J850" s="36" t="s">
        <v>1573</v>
      </c>
      <c r="K850" s="60" t="str">
        <f t="shared" si="17"/>
        <v>The Man Who Counted Infinity and Other Short Stories from Science, History and Philosophy by Saso Dolenc</v>
      </c>
    </row>
    <row r="851" outlineLevel="1">
      <c r="A851" s="30"/>
      <c r="B851" s="59" t="str">
        <f t="shared" si="16"/>
        <v>The Man Who Tapped the Secrets of the Universe</v>
      </c>
      <c r="C851" s="32" t="s">
        <v>10</v>
      </c>
      <c r="D851" s="33"/>
      <c r="E851" s="33"/>
      <c r="F851" s="33" t="s">
        <v>51</v>
      </c>
      <c r="G851" s="36"/>
      <c r="H851" s="60" t="s">
        <v>1574</v>
      </c>
      <c r="I851" s="36"/>
      <c r="J851" s="36" t="s">
        <v>1575</v>
      </c>
      <c r="K851" s="60" t="str">
        <f t="shared" si="17"/>
        <v>The Man Who Tapped the Secrets of the Universe by Glen Clark, Rich McVicar</v>
      </c>
    </row>
    <row r="852" outlineLevel="1">
      <c r="A852" s="30"/>
      <c r="B852" s="59" t="str">
        <f t="shared" si="16"/>
        <v>The Master and Margarita</v>
      </c>
      <c r="C852" s="32" t="s">
        <v>10</v>
      </c>
      <c r="D852" s="33"/>
      <c r="E852" s="33"/>
      <c r="F852" s="33" t="s">
        <v>51</v>
      </c>
      <c r="G852" s="36"/>
      <c r="H852" s="60" t="s">
        <v>1576</v>
      </c>
      <c r="I852" s="36"/>
      <c r="J852" s="36" t="s">
        <v>1577</v>
      </c>
      <c r="K852" s="60" t="str">
        <f t="shared" si="17"/>
        <v>The Master and Margarita by Mikhail Bulgakov, Christopher Conn Askew</v>
      </c>
    </row>
    <row r="853" outlineLevel="1">
      <c r="A853" s="30"/>
      <c r="B853" s="59" t="str">
        <f t="shared" si="16"/>
        <v>The Memory of Butterflies: A Novel</v>
      </c>
      <c r="C853" s="32" t="s">
        <v>10</v>
      </c>
      <c r="D853" s="33"/>
      <c r="E853" s="33"/>
      <c r="F853" s="33" t="s">
        <v>51</v>
      </c>
      <c r="G853" s="36"/>
      <c r="H853" s="60" t="s">
        <v>1578</v>
      </c>
      <c r="I853" s="36"/>
      <c r="J853" s="36" t="s">
        <v>1579</v>
      </c>
      <c r="K853" s="60" t="str">
        <f t="shared" si="17"/>
        <v>The Memory of Butterflies: A Novel by Grace Greene, Brittany Pressley</v>
      </c>
    </row>
    <row r="854" outlineLevel="1">
      <c r="A854" s="30"/>
      <c r="B854" s="59" t="str">
        <f t="shared" si="16"/>
        <v>The Men Who United the States: America's Explorers, Inventors, Eccentrics, and Mavericks, and the Creation of One Nation, Indivisible</v>
      </c>
      <c r="C854" s="32" t="s">
        <v>22</v>
      </c>
      <c r="D854" s="33"/>
      <c r="E854" s="33"/>
      <c r="F854" s="33" t="s">
        <v>51</v>
      </c>
      <c r="G854" s="36"/>
      <c r="H854" s="60" t="s">
        <v>1580</v>
      </c>
      <c r="I854" s="36"/>
      <c r="J854" s="36" t="s">
        <v>1581</v>
      </c>
      <c r="K854" s="60" t="str">
        <f t="shared" si="17"/>
        <v>The Men Who United the States: America's Explorers, Inventors, Eccentrics, and Mavericks, and the Creation of One Nation, Indivisible by Simon Winchester</v>
      </c>
    </row>
    <row r="855" outlineLevel="1">
      <c r="A855" s="30"/>
      <c r="B855" s="59" t="str">
        <f t="shared" si="16"/>
        <v>The MindBody Code: How to Change the Beliefs that Limit Your Health, Longevity, and Success</v>
      </c>
      <c r="C855" s="32" t="s">
        <v>22</v>
      </c>
      <c r="D855" s="33"/>
      <c r="E855" s="33"/>
      <c r="F855" s="33" t="s">
        <v>51</v>
      </c>
      <c r="G855" s="36"/>
      <c r="H855" s="60" t="s">
        <v>1582</v>
      </c>
      <c r="I855" s="36"/>
      <c r="J855" s="36" t="s">
        <v>1583</v>
      </c>
      <c r="K855" s="60" t="str">
        <f t="shared" si="17"/>
        <v>The MindBody Code: How to Change the Beliefs that Limit Your Health, Longevity, and Success by Mario Martinez</v>
      </c>
    </row>
    <row r="856" outlineLevel="1">
      <c r="A856" s="30"/>
      <c r="B856" s="59" t="str">
        <f t="shared" si="16"/>
        <v>The Mindful Life Journal: Seven Minutes a Day for a Better, More Meaningful Life</v>
      </c>
      <c r="C856" s="32" t="s">
        <v>10</v>
      </c>
      <c r="D856" s="33"/>
      <c r="E856" s="33"/>
      <c r="F856" s="33" t="s">
        <v>51</v>
      </c>
      <c r="G856" s="36"/>
      <c r="H856" s="60" t="s">
        <v>1584</v>
      </c>
      <c r="I856" s="36"/>
      <c r="J856" s="36" t="s">
        <v>1585</v>
      </c>
      <c r="K856" s="60" t="str">
        <f t="shared" si="17"/>
        <v>The Mindful Life Journal: Seven Minutes a Day for a Better, More Meaningful Life by Better Life Journals, Justin R. Adams</v>
      </c>
    </row>
    <row r="857" outlineLevel="1">
      <c r="A857" s="30"/>
      <c r="B857" s="59" t="str">
        <f t="shared" si="16"/>
        <v>The Ministry for the Future: A Novel</v>
      </c>
      <c r="C857" s="32" t="s">
        <v>10</v>
      </c>
      <c r="D857" s="33"/>
      <c r="E857" s="33"/>
      <c r="F857" s="33" t="s">
        <v>51</v>
      </c>
      <c r="G857" s="36"/>
      <c r="H857" s="60" t="s">
        <v>275</v>
      </c>
      <c r="I857" s="36"/>
      <c r="J857" s="36" t="s">
        <v>1586</v>
      </c>
      <c r="K857" s="60" t="str">
        <f t="shared" si="17"/>
        <v>The Ministry for the Future: A Novel by Kim Stanley Robinson</v>
      </c>
    </row>
    <row r="858" outlineLevel="1">
      <c r="A858" s="30"/>
      <c r="B858" s="59" t="str">
        <f t="shared" si="16"/>
        <v>The Moons of Jupiter</v>
      </c>
      <c r="C858" s="32" t="s">
        <v>10</v>
      </c>
      <c r="D858" s="33"/>
      <c r="E858" s="33"/>
      <c r="F858" s="33" t="s">
        <v>51</v>
      </c>
      <c r="G858" s="36"/>
      <c r="H858" s="60" t="s">
        <v>1587</v>
      </c>
      <c r="I858" s="36"/>
      <c r="J858" s="36" t="s">
        <v>1588</v>
      </c>
      <c r="K858" s="60" t="str">
        <f t="shared" si="17"/>
        <v>The Moons of Jupiter by Alice Munro</v>
      </c>
    </row>
    <row r="859" outlineLevel="1">
      <c r="A859" s="30"/>
      <c r="B859" s="59" t="str">
        <f t="shared" si="16"/>
        <v>The Moral Animal: Why We Are, the Way We Are: The New Science of Evolutionary Psychology</v>
      </c>
      <c r="C859" s="32" t="s">
        <v>22</v>
      </c>
      <c r="D859" s="33"/>
      <c r="E859" s="33"/>
      <c r="F859" s="33" t="s">
        <v>51</v>
      </c>
      <c r="G859" s="36"/>
      <c r="H859" s="60" t="s">
        <v>1589</v>
      </c>
      <c r="I859" s="36"/>
      <c r="J859" s="36" t="s">
        <v>1590</v>
      </c>
      <c r="K859" s="60" t="str">
        <f t="shared" si="17"/>
        <v>The Moral Animal: Why We Are, the Way We Are: The New Science of Evolutionary Psychology by Robert Wright</v>
      </c>
    </row>
    <row r="860" outlineLevel="1">
      <c r="A860" s="30"/>
      <c r="B860" s="59" t="str">
        <f t="shared" si="16"/>
        <v>The Most Good You Can Do: How Effective Altruism Is Changing Ideas About Living Ethically</v>
      </c>
      <c r="C860" s="32" t="s">
        <v>10</v>
      </c>
      <c r="D860" s="33"/>
      <c r="E860" s="33"/>
      <c r="F860" s="33" t="s">
        <v>51</v>
      </c>
      <c r="G860" s="36"/>
      <c r="H860" s="60" t="s">
        <v>1591</v>
      </c>
      <c r="I860" s="36"/>
      <c r="J860" s="36" t="s">
        <v>1592</v>
      </c>
      <c r="K860" s="60" t="str">
        <f t="shared" si="17"/>
        <v>The Most Good You Can Do: How Effective Altruism Is Changing Ideas About Living Ethically by Peter Singer</v>
      </c>
    </row>
    <row r="861" outlineLevel="1">
      <c r="A861" s="30"/>
      <c r="B861" s="59" t="str">
        <f t="shared" si="16"/>
        <v>The Most Human Human: What Talking with Computers Teaches Us About What It Means to Be Alive</v>
      </c>
      <c r="C861" s="32" t="s">
        <v>22</v>
      </c>
      <c r="D861" s="33"/>
      <c r="E861" s="33"/>
      <c r="F861" s="33" t="s">
        <v>51</v>
      </c>
      <c r="G861" s="36"/>
      <c r="H861" s="60" t="s">
        <v>1593</v>
      </c>
      <c r="I861" s="36"/>
      <c r="J861" s="36" t="s">
        <v>1594</v>
      </c>
      <c r="K861" s="60" t="str">
        <f t="shared" si="17"/>
        <v>The Most Human Human: What Talking with Computers Teaches Us About What It Means to Be Alive by Brian Christian</v>
      </c>
    </row>
    <row r="862" outlineLevel="1">
      <c r="A862" s="30"/>
      <c r="B862" s="59" t="str">
        <f t="shared" si="16"/>
        <v>The Mountain Is You: Transforming Self-Sabotage into Self-Mastery</v>
      </c>
      <c r="C862" s="32" t="s">
        <v>22</v>
      </c>
      <c r="D862" s="33"/>
      <c r="E862" s="33"/>
      <c r="F862" s="33" t="s">
        <v>51</v>
      </c>
      <c r="G862" s="36"/>
      <c r="H862" s="60" t="s">
        <v>1595</v>
      </c>
      <c r="I862" s="36"/>
      <c r="J862" s="36" t="s">
        <v>1596</v>
      </c>
      <c r="K862" s="60" t="str">
        <f t="shared" si="17"/>
        <v>The Mountain Is You: Transforming Self-Sabotage into Self-Mastery by Brianna Wiest, Stacey Glemboski</v>
      </c>
    </row>
    <row r="863" outlineLevel="1">
      <c r="A863" s="30"/>
      <c r="B863" s="59" t="str">
        <f t="shared" si="16"/>
        <v>The Myth of Sisyphus (Vintage International)</v>
      </c>
      <c r="C863" s="32" t="s">
        <v>10</v>
      </c>
      <c r="D863" s="33"/>
      <c r="E863" s="33"/>
      <c r="F863" s="33" t="s">
        <v>51</v>
      </c>
      <c r="G863" s="36"/>
      <c r="H863" s="60" t="s">
        <v>1597</v>
      </c>
      <c r="I863" s="36"/>
      <c r="J863" s="36" t="s">
        <v>1598</v>
      </c>
      <c r="K863" s="60" t="str">
        <f t="shared" si="17"/>
        <v>The Myth of Sisyphus (Vintage International) by Albert Camus</v>
      </c>
    </row>
    <row r="864" outlineLevel="1">
      <c r="A864" s="30"/>
      <c r="B864" s="59" t="str">
        <f t="shared" si="16"/>
        <v>The Napoleon of Crime: The Life and Times of Adam Worth, Master Thief</v>
      </c>
      <c r="C864" s="32" t="s">
        <v>10</v>
      </c>
      <c r="D864" s="33"/>
      <c r="E864" s="33"/>
      <c r="F864" s="33" t="s">
        <v>51</v>
      </c>
      <c r="G864" s="36"/>
      <c r="H864" s="60" t="s">
        <v>1168</v>
      </c>
      <c r="I864" s="36"/>
      <c r="J864" s="36" t="s">
        <v>1599</v>
      </c>
      <c r="K864" s="60" t="str">
        <f t="shared" si="17"/>
        <v>The Napoleon of Crime: The Life and Times of Adam Worth, Master Thief by Ben Macintyre</v>
      </c>
    </row>
    <row r="865" outlineLevel="1">
      <c r="A865" s="30"/>
      <c r="B865" s="59" t="str">
        <f t="shared" si="16"/>
        <v>The Napoleonic Wars: A Global History</v>
      </c>
      <c r="C865" s="32" t="s">
        <v>22</v>
      </c>
      <c r="D865" s="33"/>
      <c r="E865" s="33"/>
      <c r="F865" s="33" t="s">
        <v>51</v>
      </c>
      <c r="G865" s="36"/>
      <c r="H865" s="60" t="s">
        <v>1600</v>
      </c>
      <c r="I865" s="36"/>
      <c r="J865" s="36" t="s">
        <v>1601</v>
      </c>
      <c r="K865" s="60" t="str">
        <f t="shared" si="17"/>
        <v>The Napoleonic Wars: A Global History by Alexander Mikaberidze</v>
      </c>
    </row>
    <row r="866" outlineLevel="1">
      <c r="A866" s="30"/>
      <c r="B866" s="59" t="str">
        <f t="shared" si="16"/>
        <v>The Narcissist You Know: Defending Yourself Against Extreme Narcissists in an All-About-Me Age</v>
      </c>
      <c r="C866" s="32" t="s">
        <v>10</v>
      </c>
      <c r="D866" s="33"/>
      <c r="E866" s="33"/>
      <c r="F866" s="33" t="s">
        <v>51</v>
      </c>
      <c r="G866" s="36"/>
      <c r="H866" s="60" t="s">
        <v>1602</v>
      </c>
      <c r="I866" s="36"/>
      <c r="J866" s="36" t="s">
        <v>1603</v>
      </c>
      <c r="K866" s="60" t="str">
        <f t="shared" si="17"/>
        <v>The Narcissist You Know: Defending Yourself Against Extreme Narcissists in an All-About-Me Age by Joseph Burgo PhD</v>
      </c>
    </row>
    <row r="867" outlineLevel="1">
      <c r="A867" s="30"/>
      <c r="B867" s="59" t="str">
        <f t="shared" si="16"/>
        <v>The Narrow Road to the Deep North</v>
      </c>
      <c r="C867" s="32" t="s">
        <v>10</v>
      </c>
      <c r="D867" s="33"/>
      <c r="E867" s="33"/>
      <c r="F867" s="33" t="s">
        <v>51</v>
      </c>
      <c r="G867" s="36"/>
      <c r="H867" s="60" t="s">
        <v>1604</v>
      </c>
      <c r="I867" s="36"/>
      <c r="J867" s="36" t="s">
        <v>1605</v>
      </c>
      <c r="K867" s="60" t="str">
        <f t="shared" si="17"/>
        <v>The Narrow Road to the Deep North by Richard Flanagan</v>
      </c>
    </row>
    <row r="868" outlineLevel="1">
      <c r="A868" s="30"/>
      <c r="B868" s="59" t="str">
        <f t="shared" si="16"/>
        <v>The Nationalist Revival: Trade, Immigration, and the Revolt Against Globalization</v>
      </c>
      <c r="C868" s="32" t="s">
        <v>10</v>
      </c>
      <c r="D868" s="33"/>
      <c r="E868" s="33"/>
      <c r="F868" s="33" t="s">
        <v>51</v>
      </c>
      <c r="G868" s="36"/>
      <c r="H868" s="60" t="s">
        <v>1606</v>
      </c>
      <c r="I868" s="36"/>
      <c r="J868" s="36" t="s">
        <v>1607</v>
      </c>
      <c r="K868" s="60" t="str">
        <f t="shared" si="17"/>
        <v>The Nationalist Revival: Trade, Immigration, and the Revolt Against Globalization by John B. Judis</v>
      </c>
    </row>
    <row r="869" outlineLevel="1">
      <c r="A869" s="30"/>
      <c r="B869" s="59" t="str">
        <f t="shared" si="16"/>
        <v>The New American Militarism: How Americans Are Seduced by War</v>
      </c>
      <c r="C869" s="32" t="s">
        <v>10</v>
      </c>
      <c r="D869" s="33"/>
      <c r="E869" s="33"/>
      <c r="F869" s="33" t="s">
        <v>51</v>
      </c>
      <c r="G869" s="36"/>
      <c r="H869" s="60" t="s">
        <v>371</v>
      </c>
      <c r="I869" s="36"/>
      <c r="J869" s="36" t="s">
        <v>1608</v>
      </c>
      <c r="K869" s="60" t="str">
        <f t="shared" si="17"/>
        <v>The New American Militarism: How Americans Are Seduced by War by Andrew J. Bacevich</v>
      </c>
    </row>
    <row r="870" outlineLevel="1">
      <c r="A870" s="30"/>
      <c r="B870" s="59" t="str">
        <f t="shared" si="16"/>
        <v>The New Jim Crow: Mass Incarceration in the Age of Colorblindness</v>
      </c>
      <c r="C870" s="32" t="s">
        <v>10</v>
      </c>
      <c r="D870" s="33"/>
      <c r="E870" s="33"/>
      <c r="F870" s="33" t="s">
        <v>51</v>
      </c>
      <c r="G870" s="36"/>
      <c r="H870" s="60" t="s">
        <v>1609</v>
      </c>
      <c r="I870" s="36"/>
      <c r="J870" s="36" t="s">
        <v>1610</v>
      </c>
      <c r="K870" s="60" t="str">
        <f t="shared" si="17"/>
        <v>The New Jim Crow: Mass Incarceration in the Age of Colorblindness by Michelle Alexander, Cornel West</v>
      </c>
    </row>
    <row r="871" outlineLevel="1">
      <c r="A871" s="30"/>
      <c r="B871" s="59" t="str">
        <f t="shared" si="16"/>
        <v>The Nickel Boys: A Novel</v>
      </c>
      <c r="C871" s="32" t="s">
        <v>10</v>
      </c>
      <c r="D871" s="33"/>
      <c r="E871" s="33"/>
      <c r="F871" s="33" t="s">
        <v>51</v>
      </c>
      <c r="G871" s="36"/>
      <c r="H871" s="60" t="s">
        <v>1611</v>
      </c>
      <c r="I871" s="36"/>
      <c r="J871" s="36" t="s">
        <v>1612</v>
      </c>
      <c r="K871" s="60" t="str">
        <f t="shared" si="17"/>
        <v>The Nickel Boys: A Novel by Colson Whitehead</v>
      </c>
    </row>
    <row r="872" outlineLevel="1">
      <c r="A872" s="30"/>
      <c r="B872" s="59" t="str">
        <f t="shared" si="16"/>
        <v>The Nightingale: A Novel</v>
      </c>
      <c r="C872" s="32" t="s">
        <v>10</v>
      </c>
      <c r="D872" s="33"/>
      <c r="E872" s="33"/>
      <c r="F872" s="33" t="s">
        <v>51</v>
      </c>
      <c r="G872" s="36"/>
      <c r="H872" s="60" t="s">
        <v>1466</v>
      </c>
      <c r="I872" s="36"/>
      <c r="J872" s="36" t="s">
        <v>1613</v>
      </c>
      <c r="K872" s="60" t="str">
        <f t="shared" si="17"/>
        <v>The Nightingale: A Novel by Kristin Hannah</v>
      </c>
    </row>
    <row r="873" outlineLevel="1">
      <c r="A873" s="30"/>
      <c r="B873" s="59" t="str">
        <f t="shared" si="16"/>
        <v>The Nix</v>
      </c>
      <c r="C873" s="32" t="s">
        <v>10</v>
      </c>
      <c r="D873" s="33"/>
      <c r="E873" s="33"/>
      <c r="F873" s="33" t="s">
        <v>51</v>
      </c>
      <c r="G873" s="36"/>
      <c r="H873" s="60" t="s">
        <v>1614</v>
      </c>
      <c r="I873" s="36"/>
      <c r="J873" s="36" t="s">
        <v>1615</v>
      </c>
      <c r="K873" s="60" t="str">
        <f t="shared" si="17"/>
        <v>The Nix by Nathan Hill</v>
      </c>
    </row>
    <row r="874" outlineLevel="1">
      <c r="A874" s="30"/>
      <c r="B874" s="59" t="str">
        <f t="shared" si="16"/>
        <v>The Noonday Demon: An Atlas of Depression</v>
      </c>
      <c r="C874" s="32" t="s">
        <v>10</v>
      </c>
      <c r="D874" s="33"/>
      <c r="E874" s="33"/>
      <c r="F874" s="33" t="s">
        <v>51</v>
      </c>
      <c r="G874" s="36"/>
      <c r="H874" s="60" t="s">
        <v>1616</v>
      </c>
      <c r="I874" s="36"/>
      <c r="J874" s="36" t="s">
        <v>1617</v>
      </c>
      <c r="K874" s="60" t="str">
        <f t="shared" si="17"/>
        <v>The Noonday Demon: An Atlas of Depression by Andrew Solomon</v>
      </c>
    </row>
    <row r="875" outlineLevel="1">
      <c r="A875" s="30"/>
      <c r="B875" s="59" t="str">
        <f t="shared" si="16"/>
        <v>The O. Henry Prize Stories 2013</v>
      </c>
      <c r="C875" s="32" t="s">
        <v>10</v>
      </c>
      <c r="D875" s="33"/>
      <c r="E875" s="33"/>
      <c r="F875" s="33" t="s">
        <v>51</v>
      </c>
      <c r="G875" s="36"/>
      <c r="H875" s="60" t="s">
        <v>1618</v>
      </c>
      <c r="I875" s="36"/>
      <c r="J875" s="36" t="s">
        <v>1619</v>
      </c>
      <c r="K875" s="60" t="str">
        <f t="shared" si="17"/>
        <v>The O. Henry Prize Stories 2013 by Donald Antrim, Andrea Barrett, Ann Beattie, Deborah Eisenberg, Ruth Prawer Jhabvala, Kelly Link, Alice Munro, and Lily Tuck</v>
      </c>
    </row>
    <row r="876" outlineLevel="1">
      <c r="A876" s="30"/>
      <c r="B876" s="59" t="str">
        <f t="shared" si="16"/>
        <v>The Oligarch's Daughter: A Novel</v>
      </c>
      <c r="C876" s="32" t="s">
        <v>10</v>
      </c>
      <c r="D876" s="33"/>
      <c r="E876" s="33"/>
      <c r="F876" s="33" t="s">
        <v>51</v>
      </c>
      <c r="G876" s="36"/>
      <c r="H876" s="60" t="s">
        <v>1620</v>
      </c>
      <c r="I876" s="36"/>
      <c r="J876" s="36" t="s">
        <v>1621</v>
      </c>
      <c r="K876" s="60" t="str">
        <f t="shared" si="17"/>
        <v>The Oligarch's Daughter: A Novel by Joseph Finder</v>
      </c>
    </row>
    <row r="877" outlineLevel="1">
      <c r="A877" s="30"/>
      <c r="B877" s="59" t="str">
        <f t="shared" si="16"/>
        <v>The Order of Time</v>
      </c>
      <c r="C877" s="32" t="s">
        <v>10</v>
      </c>
      <c r="D877" s="33"/>
      <c r="E877" s="33"/>
      <c r="F877" s="33" t="s">
        <v>51</v>
      </c>
      <c r="G877" s="36"/>
      <c r="H877" s="60" t="s">
        <v>1187</v>
      </c>
      <c r="I877" s="36"/>
      <c r="J877" s="36" t="s">
        <v>1622</v>
      </c>
      <c r="K877" s="60" t="str">
        <f t="shared" si="17"/>
        <v>The Order of Time by Carlo Rovelli</v>
      </c>
    </row>
    <row r="878" outlineLevel="1">
      <c r="A878" s="30"/>
      <c r="B878" s="59" t="str">
        <f t="shared" si="16"/>
        <v>The Oregon Trail: A New American Journey</v>
      </c>
      <c r="C878" s="32" t="s">
        <v>22</v>
      </c>
      <c r="D878" s="33"/>
      <c r="E878" s="33"/>
      <c r="F878" s="33" t="s">
        <v>51</v>
      </c>
      <c r="G878" s="36"/>
      <c r="H878" s="60" t="s">
        <v>1623</v>
      </c>
      <c r="I878" s="36"/>
      <c r="J878" s="36" t="s">
        <v>1624</v>
      </c>
      <c r="K878" s="60" t="str">
        <f t="shared" si="17"/>
        <v>The Oregon Trail: A New American Journey by Rinker Buck</v>
      </c>
    </row>
    <row r="879" outlineLevel="1">
      <c r="A879" s="30"/>
      <c r="B879" s="59" t="str">
        <f t="shared" si="16"/>
        <v>The Organized Mind: Thinking Straight in the Age of Information Overload</v>
      </c>
      <c r="C879" s="32" t="s">
        <v>22</v>
      </c>
      <c r="D879" s="33"/>
      <c r="E879" s="33"/>
      <c r="F879" s="33" t="s">
        <v>51</v>
      </c>
      <c r="G879" s="36"/>
      <c r="H879" s="60" t="s">
        <v>1625</v>
      </c>
      <c r="I879" s="36"/>
      <c r="J879" s="36" t="s">
        <v>1626</v>
      </c>
      <c r="K879" s="60" t="str">
        <f t="shared" si="17"/>
        <v>The Organized Mind: Thinking Straight in the Age of Information Overload by Daniel J. Levitin</v>
      </c>
    </row>
    <row r="880" outlineLevel="1">
      <c r="A880" s="30"/>
      <c r="B880" s="59" t="str">
        <f t="shared" si="16"/>
        <v>The Origin of Consciousness in the Breakdown of the Bicameral Mind</v>
      </c>
      <c r="C880" s="32" t="s">
        <v>22</v>
      </c>
      <c r="D880" s="33"/>
      <c r="E880" s="33"/>
      <c r="F880" s="33" t="s">
        <v>51</v>
      </c>
      <c r="G880" s="36"/>
      <c r="H880" s="60" t="s">
        <v>1627</v>
      </c>
      <c r="I880" s="36"/>
      <c r="J880" s="36" t="s">
        <v>1628</v>
      </c>
      <c r="K880" s="60" t="str">
        <f t="shared" si="17"/>
        <v>The Origin of Consciousness in the Breakdown of the Bicameral Mind by Julian Jaynes</v>
      </c>
    </row>
    <row r="881" outlineLevel="1">
      <c r="A881" s="30"/>
      <c r="B881" s="59" t="str">
        <f t="shared" si="16"/>
        <v>The Origins of Political Order: From Prehuman Times to the French Revolution</v>
      </c>
      <c r="C881" s="32" t="s">
        <v>22</v>
      </c>
      <c r="D881" s="33"/>
      <c r="E881" s="33"/>
      <c r="F881" s="33" t="s">
        <v>51</v>
      </c>
      <c r="G881" s="36"/>
      <c r="H881" s="60" t="s">
        <v>1430</v>
      </c>
      <c r="I881" s="36"/>
      <c r="J881" s="36" t="s">
        <v>1629</v>
      </c>
      <c r="K881" s="60" t="str">
        <f t="shared" si="17"/>
        <v>The Origins of Political Order: From Prehuman Times to the French Revolution by Francis Fukuyama</v>
      </c>
    </row>
    <row r="882" outlineLevel="1">
      <c r="A882" s="30"/>
      <c r="B882" s="59" t="str">
        <f t="shared" si="16"/>
        <v>The Path: What Chinese Philosophers Can Teach Us About the Good Life</v>
      </c>
      <c r="C882" s="32" t="s">
        <v>10</v>
      </c>
      <c r="D882" s="33"/>
      <c r="E882" s="33"/>
      <c r="F882" s="33" t="s">
        <v>51</v>
      </c>
      <c r="G882" s="36"/>
      <c r="H882" s="60" t="s">
        <v>1630</v>
      </c>
      <c r="I882" s="36"/>
      <c r="J882" s="36" t="s">
        <v>1631</v>
      </c>
      <c r="K882" s="60" t="str">
        <f t="shared" si="17"/>
        <v>The Path: What Chinese Philosophers Can Teach Us About the Good Life by Michael Puett, Christine Gross-Loh</v>
      </c>
    </row>
    <row r="883" outlineLevel="1">
      <c r="A883" s="30"/>
      <c r="B883" s="59" t="str">
        <f t="shared" si="16"/>
        <v>The Patron Saint Of Liars</v>
      </c>
      <c r="C883" s="32" t="s">
        <v>10</v>
      </c>
      <c r="D883" s="33"/>
      <c r="E883" s="33"/>
      <c r="F883" s="33" t="s">
        <v>51</v>
      </c>
      <c r="G883" s="36"/>
      <c r="H883" s="60" t="s">
        <v>548</v>
      </c>
      <c r="I883" s="36"/>
      <c r="J883" s="36" t="s">
        <v>1632</v>
      </c>
      <c r="K883" s="60" t="str">
        <f t="shared" si="17"/>
        <v>The Patron Saint Of Liars by Ann Patchett</v>
      </c>
    </row>
    <row r="884" outlineLevel="1">
      <c r="A884" s="30"/>
      <c r="B884" s="59" t="str">
        <f t="shared" si="16"/>
        <v>The Pattern on the Stone (Science Masters)</v>
      </c>
      <c r="C884" s="32" t="s">
        <v>10</v>
      </c>
      <c r="D884" s="33"/>
      <c r="E884" s="33"/>
      <c r="F884" s="33" t="s">
        <v>51</v>
      </c>
      <c r="G884" s="36"/>
      <c r="H884" s="60" t="s">
        <v>1633</v>
      </c>
      <c r="I884" s="36"/>
      <c r="J884" s="36" t="s">
        <v>1634</v>
      </c>
      <c r="K884" s="60" t="str">
        <f t="shared" si="17"/>
        <v>The Pattern on the Stone (Science Masters) by W. Daniel Hillis</v>
      </c>
    </row>
    <row r="885" outlineLevel="1">
      <c r="A885" s="30"/>
      <c r="B885" s="59" t="str">
        <f t="shared" si="16"/>
        <v>The Pecan Man</v>
      </c>
      <c r="C885" s="32" t="s">
        <v>10</v>
      </c>
      <c r="D885" s="33"/>
      <c r="E885" s="33"/>
      <c r="F885" s="33" t="s">
        <v>51</v>
      </c>
      <c r="G885" s="36"/>
      <c r="H885" s="60" t="s">
        <v>1635</v>
      </c>
      <c r="I885" s="36"/>
      <c r="J885" s="36" t="s">
        <v>1636</v>
      </c>
      <c r="K885" s="60" t="str">
        <f t="shared" si="17"/>
        <v>The Pecan Man by Cassie Dandridge Selleck</v>
      </c>
    </row>
    <row r="886" outlineLevel="1">
      <c r="A886" s="30"/>
      <c r="B886" s="59" t="str">
        <f t="shared" si="16"/>
        <v>The People Are Going to Rise Like the Waters Upon Your Shore: A Story of American Rage</v>
      </c>
      <c r="C886" s="32" t="s">
        <v>10</v>
      </c>
      <c r="D886" s="33"/>
      <c r="E886" s="33"/>
      <c r="F886" s="33" t="s">
        <v>51</v>
      </c>
      <c r="G886" s="36"/>
      <c r="H886" s="60" t="s">
        <v>1637</v>
      </c>
      <c r="I886" s="36"/>
      <c r="J886" s="36" t="s">
        <v>1638</v>
      </c>
      <c r="K886" s="60" t="str">
        <f t="shared" si="17"/>
        <v>The People Are Going to Rise Like the Waters Upon Your Shore: A Story of American Rage by Jared Yates Sexton</v>
      </c>
    </row>
    <row r="887" outlineLevel="1">
      <c r="A887" s="30"/>
      <c r="B887" s="59" t="str">
        <f t="shared" si="16"/>
        <v>The Peripheral</v>
      </c>
      <c r="C887" s="32" t="s">
        <v>10</v>
      </c>
      <c r="D887" s="33"/>
      <c r="E887" s="33"/>
      <c r="F887" s="33" t="s">
        <v>51</v>
      </c>
      <c r="G887" s="36" t="s">
        <v>1639</v>
      </c>
      <c r="H887" s="60" t="s">
        <v>357</v>
      </c>
      <c r="I887" s="36"/>
      <c r="J887" s="36" t="s">
        <v>1640</v>
      </c>
      <c r="K887" s="60" t="str">
        <f t="shared" si="17"/>
        <v>The Peripheral by William Gibson</v>
      </c>
    </row>
    <row r="888" outlineLevel="1">
      <c r="A888" s="30"/>
      <c r="B888" s="59" t="str">
        <f t="shared" si="16"/>
        <v>The Pixar Touch: The Making of a Company</v>
      </c>
      <c r="C888" s="32" t="s">
        <v>22</v>
      </c>
      <c r="D888" s="33"/>
      <c r="E888" s="33"/>
      <c r="F888" s="33" t="s">
        <v>51</v>
      </c>
      <c r="G888" s="36"/>
      <c r="H888" s="60" t="s">
        <v>1641</v>
      </c>
      <c r="I888" s="36"/>
      <c r="J888" s="36" t="s">
        <v>1642</v>
      </c>
      <c r="K888" s="60" t="str">
        <f t="shared" si="17"/>
        <v>The Pixar Touch: The Making of a Company by David A. Price</v>
      </c>
    </row>
    <row r="889" outlineLevel="1">
      <c r="A889" s="30"/>
      <c r="B889" s="59" t="str">
        <f t="shared" si="16"/>
        <v>The Plantagenets: The Warrior Kings and Queens Who Made England</v>
      </c>
      <c r="C889" s="32" t="s">
        <v>22</v>
      </c>
      <c r="D889" s="33"/>
      <c r="E889" s="33"/>
      <c r="F889" s="33" t="s">
        <v>51</v>
      </c>
      <c r="G889" s="36"/>
      <c r="H889" s="60" t="s">
        <v>1643</v>
      </c>
      <c r="I889" s="36"/>
      <c r="J889" s="36" t="s">
        <v>1644</v>
      </c>
      <c r="K889" s="60" t="str">
        <f t="shared" si="17"/>
        <v>The Plantagenets: The Warrior Kings and Queens Who Made England by Dan Jones</v>
      </c>
    </row>
    <row r="890" outlineLevel="1">
      <c r="A890" s="30"/>
      <c r="B890" s="59" t="str">
        <f t="shared" si="16"/>
        <v>The Poet X</v>
      </c>
      <c r="C890" s="32" t="s">
        <v>10</v>
      </c>
      <c r="D890" s="33"/>
      <c r="E890" s="33"/>
      <c r="F890" s="33" t="s">
        <v>51</v>
      </c>
      <c r="G890" s="36"/>
      <c r="H890" s="60" t="s">
        <v>1645</v>
      </c>
      <c r="I890" s="36"/>
      <c r="J890" s="36" t="s">
        <v>1646</v>
      </c>
      <c r="K890" s="60" t="str">
        <f t="shared" si="17"/>
        <v>The Poet X by Elizabeth Acevedo, Quill Tree Books</v>
      </c>
    </row>
    <row r="891" outlineLevel="1">
      <c r="A891" s="30"/>
      <c r="B891" s="59" t="str">
        <f t="shared" si="16"/>
        <v>The Populist Explosion: How the Great Recession Transformed American and European Politics</v>
      </c>
      <c r="C891" s="32" t="s">
        <v>10</v>
      </c>
      <c r="D891" s="33"/>
      <c r="E891" s="33"/>
      <c r="F891" s="33" t="s">
        <v>51</v>
      </c>
      <c r="G891" s="36"/>
      <c r="H891" s="60" t="s">
        <v>1606</v>
      </c>
      <c r="I891" s="36"/>
      <c r="J891" s="36" t="s">
        <v>1647</v>
      </c>
      <c r="K891" s="60" t="str">
        <f t="shared" si="17"/>
        <v>The Populist Explosion: How the Great Recession Transformed American and European Politics by John B. Judis</v>
      </c>
    </row>
    <row r="892" outlineLevel="1">
      <c r="A892" s="30"/>
      <c r="B892" s="59" t="str">
        <f t="shared" si="16"/>
        <v>The Post-American World</v>
      </c>
      <c r="C892" s="32" t="s">
        <v>22</v>
      </c>
      <c r="D892" s="33"/>
      <c r="E892" s="33"/>
      <c r="F892" s="33" t="s">
        <v>51</v>
      </c>
      <c r="G892" s="36"/>
      <c r="H892" s="60" t="s">
        <v>1648</v>
      </c>
      <c r="I892" s="36"/>
      <c r="J892" s="36" t="s">
        <v>1649</v>
      </c>
      <c r="K892" s="60" t="str">
        <f t="shared" si="17"/>
        <v>The Post-American World by Fareed Zakaria</v>
      </c>
    </row>
    <row r="893" outlineLevel="1">
      <c r="A893" s="30"/>
      <c r="B893" s="59" t="str">
        <f t="shared" si="16"/>
        <v>The Power of One: A Novel</v>
      </c>
      <c r="C893" s="32" t="s">
        <v>10</v>
      </c>
      <c r="D893" s="33"/>
      <c r="E893" s="33"/>
      <c r="F893" s="33" t="s">
        <v>51</v>
      </c>
      <c r="G893" s="36"/>
      <c r="H893" s="60" t="s">
        <v>1650</v>
      </c>
      <c r="I893" s="36"/>
      <c r="J893" s="36" t="s">
        <v>1651</v>
      </c>
      <c r="K893" s="60" t="str">
        <f t="shared" si="17"/>
        <v>The Power of One: A Novel by Bryce Courtenay</v>
      </c>
    </row>
    <row r="894" outlineLevel="1">
      <c r="A894" s="30"/>
      <c r="B894" s="59" t="str">
        <f t="shared" si="16"/>
        <v>The Premonition: A Pandemic Story</v>
      </c>
      <c r="C894" s="32" t="s">
        <v>10</v>
      </c>
      <c r="D894" s="33"/>
      <c r="E894" s="33"/>
      <c r="F894" s="33" t="s">
        <v>51</v>
      </c>
      <c r="G894" s="36"/>
      <c r="H894" s="60" t="s">
        <v>706</v>
      </c>
      <c r="I894" s="36"/>
      <c r="J894" s="36" t="s">
        <v>1652</v>
      </c>
      <c r="K894" s="60" t="str">
        <f t="shared" si="17"/>
        <v>The Premonition: A Pandemic Story by Michael Lewis</v>
      </c>
    </row>
    <row r="895" outlineLevel="1">
      <c r="A895" s="30"/>
      <c r="B895" s="59" t="str">
        <f t="shared" si="16"/>
        <v>The Price of Inequality: How Today's Divided Society Endangers Our Future</v>
      </c>
      <c r="C895" s="32" t="s">
        <v>10</v>
      </c>
      <c r="D895" s="33"/>
      <c r="E895" s="33"/>
      <c r="F895" s="33" t="s">
        <v>51</v>
      </c>
      <c r="G895" s="36"/>
      <c r="H895" s="60" t="s">
        <v>1653</v>
      </c>
      <c r="I895" s="36"/>
      <c r="J895" s="36" t="s">
        <v>1654</v>
      </c>
      <c r="K895" s="60" t="str">
        <f t="shared" si="17"/>
        <v>The Price of Inequality: How Today's Divided Society Endangers Our Future by Joseph E. Stiglitz</v>
      </c>
    </row>
    <row r="896" outlineLevel="1">
      <c r="A896" s="30"/>
      <c r="B896" s="59" t="str">
        <f t="shared" si="16"/>
        <v>The Price of Time: A whodunit mystery thriller with unpredictable twists and glamorous intrigue</v>
      </c>
      <c r="C896" s="32" t="s">
        <v>10</v>
      </c>
      <c r="D896" s="33"/>
      <c r="E896" s="33"/>
      <c r="F896" s="33" t="s">
        <v>51</v>
      </c>
      <c r="G896" s="36"/>
      <c r="H896" s="60" t="s">
        <v>1126</v>
      </c>
      <c r="I896" s="36"/>
      <c r="J896" s="36" t="s">
        <v>1655</v>
      </c>
      <c r="K896" s="60" t="str">
        <f t="shared" si="17"/>
        <v>The Price of Time: A whodunit mystery thriller with unpredictable twists and glamorous intrigue by Tim Tigner</v>
      </c>
    </row>
    <row r="897" outlineLevel="1">
      <c r="A897" s="30"/>
      <c r="B897" s="59" t="str">
        <f t="shared" si="16"/>
        <v>The Prize: Who's in Charge of America's Schools?</v>
      </c>
      <c r="C897" s="32" t="s">
        <v>10</v>
      </c>
      <c r="D897" s="33"/>
      <c r="E897" s="33"/>
      <c r="F897" s="33" t="s">
        <v>51</v>
      </c>
      <c r="G897" s="36"/>
      <c r="H897" s="60" t="s">
        <v>1656</v>
      </c>
      <c r="I897" s="36"/>
      <c r="J897" s="36" t="s">
        <v>1657</v>
      </c>
      <c r="K897" s="60" t="str">
        <f t="shared" si="17"/>
        <v>The Prize: Who's in Charge of America's Schools? by Dale Russakoff</v>
      </c>
    </row>
    <row r="898" outlineLevel="1">
      <c r="A898" s="30"/>
      <c r="B898" s="59" t="str">
        <f t="shared" si="16"/>
        <v>The Professor of Truth: A Novel</v>
      </c>
      <c r="C898" s="32" t="s">
        <v>10</v>
      </c>
      <c r="D898" s="33"/>
      <c r="E898" s="33"/>
      <c r="F898" s="33" t="s">
        <v>51</v>
      </c>
      <c r="G898" s="36"/>
      <c r="H898" s="60" t="s">
        <v>1658</v>
      </c>
      <c r="I898" s="36"/>
      <c r="J898" s="36" t="s">
        <v>1659</v>
      </c>
      <c r="K898" s="60" t="str">
        <f t="shared" si="17"/>
        <v>The Professor of Truth: A Novel by James Robertson</v>
      </c>
    </row>
    <row r="899" outlineLevel="1">
      <c r="A899" s="30"/>
      <c r="B899" s="59" t="str">
        <f t="shared" si="16"/>
        <v>The Prophet</v>
      </c>
      <c r="C899" s="32" t="s">
        <v>10</v>
      </c>
      <c r="D899" s="33"/>
      <c r="E899" s="33"/>
      <c r="F899" s="33" t="s">
        <v>51</v>
      </c>
      <c r="G899" s="36"/>
      <c r="H899" s="60" t="s">
        <v>1660</v>
      </c>
      <c r="I899" s="36"/>
      <c r="J899" s="36" t="s">
        <v>1661</v>
      </c>
      <c r="K899" s="60" t="str">
        <f t="shared" si="17"/>
        <v>The Prophet by Kahlil Gibran</v>
      </c>
    </row>
    <row r="900" outlineLevel="1">
      <c r="A900" s="30"/>
      <c r="B900" s="59" t="str">
        <f t="shared" si="16"/>
        <v>The Rake</v>
      </c>
      <c r="C900" s="32" t="s">
        <v>10</v>
      </c>
      <c r="D900" s="33"/>
      <c r="E900" s="33"/>
      <c r="F900" s="33" t="s">
        <v>51</v>
      </c>
      <c r="G900" s="36"/>
      <c r="H900" s="60" t="s">
        <v>1662</v>
      </c>
      <c r="I900" s="36"/>
      <c r="J900" s="36" t="s">
        <v>1663</v>
      </c>
      <c r="K900" s="60" t="str">
        <f t="shared" si="17"/>
        <v>The Rake by Mary Jo Putney</v>
      </c>
    </row>
    <row r="901" outlineLevel="1">
      <c r="A901" s="30"/>
      <c r="B901" s="59" t="str">
        <f t="shared" si="16"/>
        <v>The Reactionary Mind: Conservatism from Edmund Burke to Sarah Palin</v>
      </c>
      <c r="C901" s="32" t="s">
        <v>10</v>
      </c>
      <c r="D901" s="33"/>
      <c r="E901" s="33"/>
      <c r="F901" s="33" t="s">
        <v>51</v>
      </c>
      <c r="G901" s="36"/>
      <c r="H901" s="60" t="s">
        <v>1664</v>
      </c>
      <c r="I901" s="36"/>
      <c r="J901" s="36" t="s">
        <v>1665</v>
      </c>
      <c r="K901" s="60" t="str">
        <f t="shared" si="17"/>
        <v>The Reactionary Mind: Conservatism from Edmund Burke to Sarah Palin by Corey Robin</v>
      </c>
    </row>
    <row r="902" outlineLevel="1">
      <c r="A902" s="30"/>
      <c r="B902" s="59" t="str">
        <f t="shared" si="16"/>
        <v>The Remains of the Day</v>
      </c>
      <c r="C902" s="32" t="s">
        <v>10</v>
      </c>
      <c r="D902" s="33"/>
      <c r="E902" s="33"/>
      <c r="F902" s="33" t="s">
        <v>51</v>
      </c>
      <c r="G902" s="36"/>
      <c r="H902" s="60" t="s">
        <v>1666</v>
      </c>
      <c r="I902" s="36"/>
      <c r="J902" s="36" t="s">
        <v>1667</v>
      </c>
      <c r="K902" s="60" t="str">
        <f t="shared" si="17"/>
        <v>The Remains of the Day by Nicholas Guy Smith, Kazuo Ishiguro</v>
      </c>
    </row>
    <row r="903" outlineLevel="1">
      <c r="A903" s="30"/>
      <c r="B903" s="59" t="str">
        <f t="shared" si="16"/>
        <v>The Restoration Game</v>
      </c>
      <c r="C903" s="32" t="s">
        <v>10</v>
      </c>
      <c r="D903" s="33"/>
      <c r="E903" s="33"/>
      <c r="F903" s="33" t="s">
        <v>51</v>
      </c>
      <c r="G903" s="36"/>
      <c r="H903" s="60" t="s">
        <v>1668</v>
      </c>
      <c r="I903" s="36"/>
      <c r="J903" s="36" t="s">
        <v>1669</v>
      </c>
      <c r="K903" s="60" t="str">
        <f t="shared" si="17"/>
        <v>The Restoration Game by Ken MacLeod</v>
      </c>
    </row>
    <row r="904" outlineLevel="1">
      <c r="A904" s="30"/>
      <c r="B904" s="59" t="str">
        <f t="shared" si="16"/>
        <v>The Rigor of Angels: Borges, Heisenberg, Kant, and the Ultimate Nature of Reality</v>
      </c>
      <c r="C904" s="32" t="s">
        <v>22</v>
      </c>
      <c r="D904" s="33"/>
      <c r="E904" s="33"/>
      <c r="F904" s="33" t="s">
        <v>51</v>
      </c>
      <c r="G904" s="36"/>
      <c r="H904" s="60" t="s">
        <v>1670</v>
      </c>
      <c r="I904" s="36"/>
      <c r="J904" s="36" t="s">
        <v>1671</v>
      </c>
      <c r="K904" s="60" t="str">
        <f t="shared" si="17"/>
        <v>The Rigor of Angels: Borges, Heisenberg, Kant, and the Ultimate Nature of Reality by David Glass, William Egginton</v>
      </c>
    </row>
    <row r="905" outlineLevel="1">
      <c r="A905" s="30"/>
      <c r="B905" s="59" t="str">
        <f t="shared" si="16"/>
        <v>The Rise and Fall of American Growth: The U.S. Standard of Living since the Civil War (The Princeton Economic History of the Western World)</v>
      </c>
      <c r="C905" s="32" t="s">
        <v>10</v>
      </c>
      <c r="D905" s="33"/>
      <c r="E905" s="33"/>
      <c r="F905" s="33" t="s">
        <v>51</v>
      </c>
      <c r="G905" s="36"/>
      <c r="H905" s="60" t="s">
        <v>1672</v>
      </c>
      <c r="I905" s="36"/>
      <c r="J905" s="36" t="s">
        <v>1673</v>
      </c>
      <c r="K905" s="60" t="str">
        <f t="shared" si="17"/>
        <v>The Rise and Fall of American Growth: The U.S. Standard of Living since the Civil War (The Princeton Economic History of the Western World) by Robert J. Gordon</v>
      </c>
    </row>
    <row r="906" outlineLevel="1">
      <c r="A906" s="30"/>
      <c r="B906" s="59" t="str">
        <f t="shared" si="16"/>
        <v>The Ritual: A Novel</v>
      </c>
      <c r="C906" s="32" t="s">
        <v>10</v>
      </c>
      <c r="D906" s="33"/>
      <c r="E906" s="33"/>
      <c r="F906" s="33" t="s">
        <v>51</v>
      </c>
      <c r="G906" s="36"/>
      <c r="H906" s="60" t="s">
        <v>1674</v>
      </c>
      <c r="I906" s="36"/>
      <c r="J906" s="36" t="s">
        <v>1675</v>
      </c>
      <c r="K906" s="60" t="str">
        <f t="shared" si="17"/>
        <v>The Ritual: A Novel by Adam Nevill</v>
      </c>
    </row>
    <row r="907" outlineLevel="1">
      <c r="A907" s="30"/>
      <c r="B907" s="59" t="str">
        <f t="shared" si="16"/>
        <v>The River Is Waiting: A Novel</v>
      </c>
      <c r="C907" s="32" t="s">
        <v>10</v>
      </c>
      <c r="D907" s="33"/>
      <c r="E907" s="33"/>
      <c r="F907" s="33" t="s">
        <v>51</v>
      </c>
      <c r="G907" s="36" t="s">
        <v>373</v>
      </c>
      <c r="H907" s="60" t="s">
        <v>1676</v>
      </c>
      <c r="I907" s="36"/>
      <c r="J907" s="36" t="s">
        <v>1677</v>
      </c>
      <c r="K907" s="60" t="str">
        <f t="shared" si="17"/>
        <v>The River Is Waiting: A Novel by Wally Lamb</v>
      </c>
    </row>
    <row r="908" outlineLevel="1">
      <c r="A908" s="30"/>
      <c r="B908" s="59" t="str">
        <f t="shared" si="16"/>
        <v>The Road to Serfdom: Text and Documents--The Definitive Edition (The Collected Works of F. A. Hayek, Volume 2)</v>
      </c>
      <c r="C908" s="32" t="s">
        <v>10</v>
      </c>
      <c r="D908" s="33"/>
      <c r="E908" s="33"/>
      <c r="F908" s="33" t="s">
        <v>51</v>
      </c>
      <c r="G908" s="36"/>
      <c r="H908" s="60" t="s">
        <v>1678</v>
      </c>
      <c r="I908" s="36"/>
      <c r="J908" s="36" t="s">
        <v>1679</v>
      </c>
      <c r="K908" s="60" t="str">
        <f t="shared" si="17"/>
        <v>The Road to Serfdom: Text and Documents--The Definitive Edition (The Collected Works of F. A. Hayek, Volume 2) by F. A. Hayek, Bruce Caldwell</v>
      </c>
    </row>
    <row r="909" outlineLevel="1">
      <c r="A909" s="30"/>
      <c r="B909" s="59" t="str">
        <f t="shared" si="16"/>
        <v>The Rook: A Novel (The Rook Files, 1)</v>
      </c>
      <c r="C909" s="32" t="s">
        <v>10</v>
      </c>
      <c r="D909" s="33"/>
      <c r="E909" s="33"/>
      <c r="F909" s="33" t="s">
        <v>51</v>
      </c>
      <c r="G909" s="36"/>
      <c r="H909" s="60" t="s">
        <v>1680</v>
      </c>
      <c r="I909" s="36"/>
      <c r="J909" s="36" t="s">
        <v>1681</v>
      </c>
      <c r="K909" s="60" t="str">
        <f t="shared" si="17"/>
        <v>The Rook: A Novel (The Rook Files, 1) by Daniel O'Malley</v>
      </c>
    </row>
    <row r="910" outlineLevel="1">
      <c r="A910" s="30"/>
      <c r="B910" s="59" t="str">
        <f t="shared" si="16"/>
        <v>The Secret Life of Lobsters: How Fishermen and Scientists Are Unraveling the Mysteries of Our Favorite Crustacean (P.S.)</v>
      </c>
      <c r="C910" s="32" t="s">
        <v>10</v>
      </c>
      <c r="D910" s="33"/>
      <c r="E910" s="33"/>
      <c r="F910" s="33" t="s">
        <v>51</v>
      </c>
      <c r="G910" s="36"/>
      <c r="H910" s="60" t="s">
        <v>1682</v>
      </c>
      <c r="I910" s="36"/>
      <c r="J910" s="36" t="s">
        <v>1683</v>
      </c>
      <c r="K910" s="60" t="str">
        <f t="shared" si="17"/>
        <v>The Secret Life of Lobsters: How Fishermen and Scientists Are Unraveling the Mysteries of Our Favorite Crustacean (P.S.) by Trevor Corson</v>
      </c>
    </row>
    <row r="911" outlineLevel="1">
      <c r="A911" s="30"/>
      <c r="B911" s="59" t="str">
        <f t="shared" si="16"/>
        <v>The Selfish Gene</v>
      </c>
      <c r="C911" s="32" t="s">
        <v>22</v>
      </c>
      <c r="D911" s="33"/>
      <c r="E911" s="33"/>
      <c r="F911" s="33" t="s">
        <v>51</v>
      </c>
      <c r="G911" s="36"/>
      <c r="H911" s="60" t="s">
        <v>1684</v>
      </c>
      <c r="I911" s="36"/>
      <c r="J911" s="36" t="s">
        <v>1685</v>
      </c>
      <c r="K911" s="60" t="str">
        <f t="shared" si="17"/>
        <v>The Selfish Gene by Richard Dawkins, Lalla Ward</v>
      </c>
    </row>
    <row r="912" outlineLevel="1">
      <c r="A912" s="30"/>
      <c r="B912" s="59" t="str">
        <f t="shared" si="16"/>
        <v>The Sellout: A Novel</v>
      </c>
      <c r="C912" s="32" t="s">
        <v>10</v>
      </c>
      <c r="D912" s="33"/>
      <c r="E912" s="33"/>
      <c r="F912" s="33" t="s">
        <v>51</v>
      </c>
      <c r="G912" s="36"/>
      <c r="H912" s="60" t="s">
        <v>1686</v>
      </c>
      <c r="I912" s="36"/>
      <c r="J912" s="36" t="s">
        <v>1687</v>
      </c>
      <c r="K912" s="60" t="str">
        <f t="shared" si="17"/>
        <v>The Sellout: A Novel by Paul Beatty</v>
      </c>
    </row>
    <row r="913" outlineLevel="1">
      <c r="A913" s="30"/>
      <c r="B913" s="59" t="str">
        <f t="shared" si="16"/>
        <v>The Seven Moons of Maali Almeida</v>
      </c>
      <c r="C913" s="32" t="s">
        <v>10</v>
      </c>
      <c r="D913" s="33"/>
      <c r="E913" s="33"/>
      <c r="F913" s="33" t="s">
        <v>51</v>
      </c>
      <c r="G913" s="36"/>
      <c r="H913" s="60" t="s">
        <v>1688</v>
      </c>
      <c r="I913" s="36"/>
      <c r="J913" s="36" t="s">
        <v>1689</v>
      </c>
      <c r="K913" s="60" t="str">
        <f t="shared" si="17"/>
        <v>The Seven Moons of Maali Almeida by Shehan Karunatilaka</v>
      </c>
    </row>
    <row r="914" outlineLevel="1">
      <c r="A914" s="30"/>
      <c r="B914" s="59" t="str">
        <f t="shared" si="16"/>
        <v>The Shark's Paintbrush: Biomimicry and How Nature Is Inspiring Innovation</v>
      </c>
      <c r="C914" s="32" t="s">
        <v>10</v>
      </c>
      <c r="D914" s="33"/>
      <c r="E914" s="33"/>
      <c r="F914" s="33" t="s">
        <v>51</v>
      </c>
      <c r="G914" s="36"/>
      <c r="H914" s="60" t="s">
        <v>1690</v>
      </c>
      <c r="I914" s="36"/>
      <c r="J914" s="36" t="s">
        <v>1691</v>
      </c>
      <c r="K914" s="60" t="str">
        <f t="shared" si="17"/>
        <v>The Shark's Paintbrush: Biomimicry and How Nature Is Inspiring Innovation by Jay Harman</v>
      </c>
    </row>
    <row r="915" outlineLevel="1">
      <c r="A915" s="30"/>
      <c r="B915" s="59" t="str">
        <f t="shared" si="16"/>
        <v>The Silent Wife: A Novel</v>
      </c>
      <c r="C915" s="32" t="s">
        <v>10</v>
      </c>
      <c r="D915" s="33"/>
      <c r="E915" s="33"/>
      <c r="F915" s="33" t="s">
        <v>51</v>
      </c>
      <c r="G915" s="36"/>
      <c r="H915" s="60" t="s">
        <v>1692</v>
      </c>
      <c r="I915" s="36"/>
      <c r="J915" s="36" t="s">
        <v>1693</v>
      </c>
      <c r="K915" s="60" t="str">
        <f t="shared" si="17"/>
        <v>The Silent Wife: A Novel by A. S. A. Harrison</v>
      </c>
    </row>
    <row r="916" outlineLevel="1">
      <c r="A916" s="30"/>
      <c r="B916" s="59" t="str">
        <f t="shared" si="16"/>
        <v>The Skripal Files: The Life and Near Death of a Russian Spy</v>
      </c>
      <c r="C916" s="32" t="s">
        <v>22</v>
      </c>
      <c r="D916" s="33"/>
      <c r="E916" s="33"/>
      <c r="F916" s="33" t="s">
        <v>51</v>
      </c>
      <c r="G916" s="36"/>
      <c r="H916" s="60" t="s">
        <v>1694</v>
      </c>
      <c r="I916" s="36"/>
      <c r="J916" s="36" t="s">
        <v>1695</v>
      </c>
      <c r="K916" s="60" t="str">
        <f t="shared" si="17"/>
        <v>The Skripal Files: The Life and Near Death of a Russian Spy by Mark Urban</v>
      </c>
    </row>
    <row r="917" outlineLevel="1">
      <c r="A917" s="30"/>
      <c r="B917" s="59" t="str">
        <f t="shared" si="16"/>
        <v>The Sleepwalkers: How Europe Went to War in 1914</v>
      </c>
      <c r="C917" s="32" t="s">
        <v>22</v>
      </c>
      <c r="D917" s="33"/>
      <c r="E917" s="33"/>
      <c r="F917" s="33" t="s">
        <v>51</v>
      </c>
      <c r="G917" s="36"/>
      <c r="H917" s="60" t="s">
        <v>1696</v>
      </c>
      <c r="I917" s="36"/>
      <c r="J917" s="36" t="s">
        <v>1697</v>
      </c>
      <c r="K917" s="60" t="str">
        <f t="shared" si="17"/>
        <v>The Sleepwalkers: How Europe Went to War in 1914 by Christopher Clark</v>
      </c>
    </row>
    <row r="918" outlineLevel="1">
      <c r="A918" s="30"/>
      <c r="B918" s="59" t="str">
        <f t="shared" si="16"/>
        <v>The Soul of America: The Battle for Our Better Angels</v>
      </c>
      <c r="C918" s="32" t="s">
        <v>10</v>
      </c>
      <c r="D918" s="33"/>
      <c r="E918" s="33"/>
      <c r="F918" s="33" t="s">
        <v>51</v>
      </c>
      <c r="G918" s="36"/>
      <c r="H918" s="60" t="s">
        <v>378</v>
      </c>
      <c r="I918" s="36"/>
      <c r="J918" s="36" t="s">
        <v>1698</v>
      </c>
      <c r="K918" s="60" t="str">
        <f t="shared" si="17"/>
        <v>The Soul of America: The Battle for Our Better Angels by Jon Meacham</v>
      </c>
    </row>
    <row r="919" outlineLevel="1">
      <c r="A919" s="30"/>
      <c r="B919" s="59" t="str">
        <f t="shared" si="16"/>
        <v>The Splendid and the Vile: A Saga of Churchill, Family, and Defiance During the Blitz</v>
      </c>
      <c r="C919" s="32" t="s">
        <v>10</v>
      </c>
      <c r="D919" s="33"/>
      <c r="E919" s="33"/>
      <c r="F919" s="33" t="s">
        <v>51</v>
      </c>
      <c r="G919" s="36"/>
      <c r="H919" s="60" t="s">
        <v>1699</v>
      </c>
      <c r="I919" s="36"/>
      <c r="J919" s="36" t="s">
        <v>1700</v>
      </c>
      <c r="K919" s="60" t="str">
        <f t="shared" si="17"/>
        <v>The Splendid and the Vile: A Saga of Churchill, Family, and Defiance During the Blitz by Erik Larson</v>
      </c>
    </row>
    <row r="920" outlineLevel="1">
      <c r="A920" s="30"/>
      <c r="B920" s="59" t="str">
        <f t="shared" si="16"/>
        <v>The Stand</v>
      </c>
      <c r="C920" s="32" t="s">
        <v>10</v>
      </c>
      <c r="D920" s="33"/>
      <c r="E920" s="33"/>
      <c r="F920" s="33" t="s">
        <v>51</v>
      </c>
      <c r="G920" s="36"/>
      <c r="H920" s="60" t="s">
        <v>698</v>
      </c>
      <c r="I920" s="36"/>
      <c r="J920" s="36" t="s">
        <v>1701</v>
      </c>
      <c r="K920" s="60" t="str">
        <f t="shared" si="17"/>
        <v>The Stand by Stephen King</v>
      </c>
    </row>
    <row r="921" outlineLevel="1">
      <c r="A921" s="30"/>
      <c r="B921" s="59" t="str">
        <f t="shared" si="16"/>
        <v>The Startup of You: Adapt, Take Risks, Grow Your Network, and Transform Your Career</v>
      </c>
      <c r="C921" s="32" t="s">
        <v>10</v>
      </c>
      <c r="D921" s="33"/>
      <c r="E921" s="33"/>
      <c r="F921" s="33" t="s">
        <v>51</v>
      </c>
      <c r="G921" s="36"/>
      <c r="H921" s="60" t="s">
        <v>1305</v>
      </c>
      <c r="I921" s="36"/>
      <c r="J921" s="36" t="s">
        <v>1702</v>
      </c>
      <c r="K921" s="60" t="str">
        <f t="shared" si="17"/>
        <v>The Startup of You: Adapt, Take Risks, Grow Your Network, and Transform Your Career by Reid Hoffman, Ben Casnocha</v>
      </c>
    </row>
    <row r="922" outlineLevel="1">
      <c r="A922" s="30"/>
      <c r="B922" s="59" t="str">
        <f t="shared" si="16"/>
        <v>The Story of Philosophy: The Lives and Opinions of the Greater Philosophers</v>
      </c>
      <c r="C922" s="32" t="s">
        <v>22</v>
      </c>
      <c r="D922" s="33"/>
      <c r="E922" s="33"/>
      <c r="F922" s="33" t="s">
        <v>51</v>
      </c>
      <c r="G922" s="36"/>
      <c r="H922" s="60" t="s">
        <v>1703</v>
      </c>
      <c r="I922" s="36"/>
      <c r="J922" s="36" t="s">
        <v>1704</v>
      </c>
      <c r="K922" s="60" t="str">
        <f t="shared" si="17"/>
        <v>The Story of Philosophy: The Lives and Opinions of the Greater Philosophers by Will Durant</v>
      </c>
    </row>
    <row r="923" outlineLevel="1">
      <c r="A923" s="30"/>
      <c r="B923" s="59" t="str">
        <f t="shared" si="16"/>
        <v>The Stuff of Thought: Language as a Window into Human Nature</v>
      </c>
      <c r="C923" s="32" t="s">
        <v>10</v>
      </c>
      <c r="D923" s="33"/>
      <c r="E923" s="33"/>
      <c r="F923" s="33" t="s">
        <v>51</v>
      </c>
      <c r="G923" s="36"/>
      <c r="H923" s="60" t="s">
        <v>670</v>
      </c>
      <c r="I923" s="36"/>
      <c r="J923" s="36" t="s">
        <v>1705</v>
      </c>
      <c r="K923" s="60" t="str">
        <f t="shared" si="17"/>
        <v>The Stuff of Thought: Language as a Window into Human Nature by Steven Pinker</v>
      </c>
    </row>
    <row r="924" outlineLevel="1">
      <c r="A924" s="30"/>
      <c r="B924" s="59" t="str">
        <f t="shared" si="16"/>
        <v>The Sweet Spot: The Pleasures of Suffering and the Search for Meaning</v>
      </c>
      <c r="C924" s="32" t="s">
        <v>10</v>
      </c>
      <c r="D924" s="33"/>
      <c r="E924" s="33"/>
      <c r="F924" s="33" t="s">
        <v>51</v>
      </c>
      <c r="G924" s="36"/>
      <c r="H924" s="60" t="s">
        <v>1706</v>
      </c>
      <c r="I924" s="36"/>
      <c r="J924" s="36" t="s">
        <v>1707</v>
      </c>
      <c r="K924" s="60" t="str">
        <f t="shared" si="17"/>
        <v>The Sweet Spot: The Pleasures of Suffering and the Search for Meaning by Paul Bloom</v>
      </c>
    </row>
    <row r="925" outlineLevel="1">
      <c r="A925" s="30"/>
      <c r="B925" s="59" t="str">
        <f t="shared" si="16"/>
        <v>The Swerve: How the World Became Modern</v>
      </c>
      <c r="C925" s="32" t="s">
        <v>22</v>
      </c>
      <c r="D925" s="33"/>
      <c r="E925" s="33"/>
      <c r="F925" s="33" t="s">
        <v>51</v>
      </c>
      <c r="G925" s="36"/>
      <c r="H925" s="60" t="s">
        <v>1708</v>
      </c>
      <c r="I925" s="36"/>
      <c r="J925" s="36" t="s">
        <v>1709</v>
      </c>
      <c r="K925" s="60" t="str">
        <f t="shared" si="17"/>
        <v>The Swerve: How the World Became Modern by Greenblatt, Stephen (1st (first) Edition) [Paperback(2012)]</v>
      </c>
    </row>
    <row r="926" outlineLevel="1">
      <c r="A926" s="30"/>
      <c r="B926" s="59" t="str">
        <f t="shared" si="16"/>
        <v>The Swerve: How the World Became Modern</v>
      </c>
      <c r="C926" s="32" t="s">
        <v>10</v>
      </c>
      <c r="D926" s="33"/>
      <c r="E926" s="33"/>
      <c r="F926" s="33" t="s">
        <v>51</v>
      </c>
      <c r="G926" s="36"/>
      <c r="H926" s="60" t="s">
        <v>115</v>
      </c>
      <c r="I926" s="36"/>
      <c r="J926" s="36" t="s">
        <v>1709</v>
      </c>
      <c r="K926" s="60" t="str">
        <f t="shared" si="17"/>
        <v>The Swerve: How the World Became Modern by Stephen Greenblatt</v>
      </c>
    </row>
    <row r="927" outlineLevel="1">
      <c r="A927" s="30"/>
      <c r="B927" s="59" t="str">
        <f t="shared" si="16"/>
        <v>The Sympathizer: A Novel (Pulitzer Prize for Fiction)</v>
      </c>
      <c r="C927" s="32" t="s">
        <v>10</v>
      </c>
      <c r="D927" s="33"/>
      <c r="E927" s="33"/>
      <c r="F927" s="33" t="s">
        <v>51</v>
      </c>
      <c r="G927" s="36"/>
      <c r="H927" s="60" t="s">
        <v>1710</v>
      </c>
      <c r="I927" s="36"/>
      <c r="J927" s="36" t="s">
        <v>1711</v>
      </c>
      <c r="K927" s="60" t="str">
        <f t="shared" si="17"/>
        <v>The Sympathizer: A Novel (Pulitzer Prize for Fiction) by Viet Thanh Nguyen</v>
      </c>
    </row>
    <row r="928" outlineLevel="1">
      <c r="A928" s="30"/>
      <c r="B928" s="59" t="str">
        <f t="shared" si="16"/>
        <v>The Tainted Cup (Shadow of the Leviathan Book 1)</v>
      </c>
      <c r="C928" s="32" t="s">
        <v>10</v>
      </c>
      <c r="D928" s="33"/>
      <c r="E928" s="33"/>
      <c r="F928" s="33" t="s">
        <v>51</v>
      </c>
      <c r="G928" s="36"/>
      <c r="H928" s="60" t="s">
        <v>1712</v>
      </c>
      <c r="I928" s="36"/>
      <c r="J928" s="36" t="s">
        <v>1713</v>
      </c>
      <c r="K928" s="60" t="str">
        <f t="shared" si="17"/>
        <v>The Tainted Cup (Shadow of the Leviathan Book 1) by Robert Jackson Bennett</v>
      </c>
    </row>
    <row r="929" outlineLevel="1">
      <c r="A929" s="30"/>
      <c r="B929" s="59" t="str">
        <f t="shared" si="16"/>
        <v>The Tao: The Sacred Way</v>
      </c>
      <c r="C929" s="32" t="s">
        <v>10</v>
      </c>
      <c r="D929" s="33"/>
      <c r="E929" s="33"/>
      <c r="F929" s="33" t="s">
        <v>51</v>
      </c>
      <c r="G929" s="36"/>
      <c r="H929" s="60" t="s">
        <v>1714</v>
      </c>
      <c r="I929" s="36"/>
      <c r="J929" s="36" t="s">
        <v>1715</v>
      </c>
      <c r="K929" s="60" t="str">
        <f t="shared" si="17"/>
        <v>The Tao: The Sacred Way by Tolbert McCarroll</v>
      </c>
    </row>
    <row r="930" outlineLevel="1">
      <c r="A930" s="30"/>
      <c r="B930" s="59" t="str">
        <f t="shared" si="16"/>
        <v>The Ten Thousand Doors of January</v>
      </c>
      <c r="C930" s="32" t="s">
        <v>10</v>
      </c>
      <c r="D930" s="33"/>
      <c r="E930" s="33"/>
      <c r="F930" s="33" t="s">
        <v>51</v>
      </c>
      <c r="G930" s="36"/>
      <c r="H930" s="60" t="s">
        <v>1716</v>
      </c>
      <c r="I930" s="36"/>
      <c r="J930" s="36" t="s">
        <v>1717</v>
      </c>
      <c r="K930" s="60" t="str">
        <f t="shared" si="17"/>
        <v>The Ten Thousand Doors of January by Alix E. Harrow, January LaVoy</v>
      </c>
    </row>
    <row r="931" outlineLevel="1">
      <c r="A931" s="30"/>
      <c r="B931" s="59" t="str">
        <f t="shared" si="16"/>
        <v>The Three-Day Affair</v>
      </c>
      <c r="C931" s="32" t="s">
        <v>10</v>
      </c>
      <c r="D931" s="33"/>
      <c r="E931" s="33"/>
      <c r="F931" s="33" t="s">
        <v>51</v>
      </c>
      <c r="G931" s="36"/>
      <c r="H931" s="60" t="s">
        <v>1718</v>
      </c>
      <c r="I931" s="36"/>
      <c r="J931" s="36" t="s">
        <v>1719</v>
      </c>
      <c r="K931" s="60" t="str">
        <f t="shared" si="17"/>
        <v>The Three-Day Affair by Michael Kardos</v>
      </c>
    </row>
    <row r="932" outlineLevel="1">
      <c r="A932" s="30"/>
      <c r="B932" s="59" t="str">
        <f t="shared" si="16"/>
        <v>The Threshold: Leading in the Age of AI</v>
      </c>
      <c r="C932" s="32" t="s">
        <v>22</v>
      </c>
      <c r="D932" s="33"/>
      <c r="E932" s="33"/>
      <c r="F932" s="33" t="s">
        <v>51</v>
      </c>
      <c r="G932" s="36"/>
      <c r="H932" s="60" t="s">
        <v>1720</v>
      </c>
      <c r="I932" s="36"/>
      <c r="J932" s="36" t="s">
        <v>1721</v>
      </c>
      <c r="K932" s="60" t="str">
        <f t="shared" si="17"/>
        <v>The Threshold: Leading in the Age of AI by Nick Chatrath</v>
      </c>
    </row>
    <row r="933" outlineLevel="1">
      <c r="A933" s="30"/>
      <c r="B933" s="59" t="str">
        <f t="shared" si="16"/>
        <v>The Tools: Transform Your Problems into Courage, Confidence, and Creativity</v>
      </c>
      <c r="C933" s="32" t="s">
        <v>22</v>
      </c>
      <c r="D933" s="33"/>
      <c r="E933" s="33"/>
      <c r="F933" s="33" t="s">
        <v>51</v>
      </c>
      <c r="G933" s="36"/>
      <c r="H933" s="60" t="s">
        <v>1722</v>
      </c>
      <c r="I933" s="36"/>
      <c r="J933" s="36" t="s">
        <v>1723</v>
      </c>
      <c r="K933" s="60" t="str">
        <f t="shared" si="17"/>
        <v>The Tools: Transform Your Problems into Courage, Confidence, and Creativity by Phil Stutz, Barry Michels</v>
      </c>
    </row>
    <row r="934" outlineLevel="1">
      <c r="A934" s="30"/>
      <c r="B934" s="59" t="str">
        <f t="shared" si="16"/>
        <v>The Trap</v>
      </c>
      <c r="C934" s="32" t="s">
        <v>10</v>
      </c>
      <c r="D934" s="33"/>
      <c r="E934" s="33"/>
      <c r="F934" s="33" t="s">
        <v>51</v>
      </c>
      <c r="G934" s="36"/>
      <c r="H934" s="60" t="s">
        <v>1724</v>
      </c>
      <c r="I934" s="36"/>
      <c r="J934" s="36" t="s">
        <v>1725</v>
      </c>
      <c r="K934" s="60" t="str">
        <f t="shared" si="17"/>
        <v>The Trap by Catherine Ryan Howard, John Keating</v>
      </c>
    </row>
    <row r="935" outlineLevel="1">
      <c r="A935" s="30"/>
      <c r="B935" s="59" t="str">
        <f t="shared" si="16"/>
        <v>The Travelers: A Novel</v>
      </c>
      <c r="C935" s="32" t="s">
        <v>10</v>
      </c>
      <c r="D935" s="33"/>
      <c r="E935" s="33"/>
      <c r="F935" s="33" t="s">
        <v>51</v>
      </c>
      <c r="G935" s="36"/>
      <c r="H935" s="60" t="s">
        <v>1294</v>
      </c>
      <c r="I935" s="36"/>
      <c r="J935" s="36" t="s">
        <v>1726</v>
      </c>
      <c r="K935" s="60" t="str">
        <f t="shared" si="17"/>
        <v>The Travelers: A Novel by Chris Pavone</v>
      </c>
    </row>
    <row r="936" outlineLevel="1">
      <c r="A936" s="30"/>
      <c r="B936" s="59" t="str">
        <f t="shared" si="16"/>
        <v>The Trial of Lizzie Borden</v>
      </c>
      <c r="C936" s="32" t="s">
        <v>10</v>
      </c>
      <c r="D936" s="33"/>
      <c r="E936" s="33"/>
      <c r="F936" s="33" t="s">
        <v>51</v>
      </c>
      <c r="G936" s="36"/>
      <c r="H936" s="60" t="s">
        <v>1727</v>
      </c>
      <c r="I936" s="36"/>
      <c r="J936" s="36" t="s">
        <v>1728</v>
      </c>
      <c r="K936" s="60" t="str">
        <f t="shared" si="17"/>
        <v>The Trial of Lizzie Borden by Cara Robertson</v>
      </c>
    </row>
    <row r="937" outlineLevel="1">
      <c r="A937" s="30"/>
      <c r="B937" s="59" t="str">
        <f t="shared" si="16"/>
        <v>The True Believer: Thoughts on the Nature of Mass Movements</v>
      </c>
      <c r="C937" s="32" t="s">
        <v>10</v>
      </c>
      <c r="D937" s="33"/>
      <c r="E937" s="33"/>
      <c r="F937" s="33" t="s">
        <v>51</v>
      </c>
      <c r="G937" s="36"/>
      <c r="H937" s="60" t="s">
        <v>1729</v>
      </c>
      <c r="I937" s="36"/>
      <c r="J937" s="36" t="s">
        <v>1730</v>
      </c>
      <c r="K937" s="60" t="str">
        <f t="shared" si="17"/>
        <v>The True Believer: Thoughts on the Nature of Mass Movements by Eric Hoffer</v>
      </c>
    </row>
    <row r="938" outlineLevel="1">
      <c r="A938" s="30"/>
      <c r="B938" s="59" t="str">
        <f t="shared" si="16"/>
        <v>The Truth about Leadership: The No-fads, Heart-of-the-Matter Facts You Need to Know</v>
      </c>
      <c r="C938" s="32" t="s">
        <v>22</v>
      </c>
      <c r="D938" s="33"/>
      <c r="E938" s="33"/>
      <c r="F938" s="33" t="s">
        <v>51</v>
      </c>
      <c r="G938" s="36"/>
      <c r="H938" s="60" t="s">
        <v>1731</v>
      </c>
      <c r="I938" s="36"/>
      <c r="J938" s="36" t="s">
        <v>1732</v>
      </c>
      <c r="K938" s="60" t="str">
        <f t="shared" si="17"/>
        <v>The Truth about Leadership: The No-fads, Heart-of-the-Matter Facts You Need to Know by James M. Kouzes, Barry Z. Posner</v>
      </c>
    </row>
    <row r="939" outlineLevel="1">
      <c r="A939" s="30"/>
      <c r="B939" s="59" t="str">
        <f t="shared" si="16"/>
        <v>The Tyranny of Experts: Economists, Dictators, and the Forgotten Rights of the Poor</v>
      </c>
      <c r="C939" s="32" t="s">
        <v>10</v>
      </c>
      <c r="D939" s="33"/>
      <c r="E939" s="33"/>
      <c r="F939" s="33" t="s">
        <v>51</v>
      </c>
      <c r="G939" s="36"/>
      <c r="H939" s="60" t="s">
        <v>1733</v>
      </c>
      <c r="I939" s="36"/>
      <c r="J939" s="36" t="s">
        <v>1734</v>
      </c>
      <c r="K939" s="60" t="str">
        <f t="shared" si="17"/>
        <v>The Tyranny of Experts: Economists, Dictators, and the Forgotten Rights of the Poor by William Easterly</v>
      </c>
    </row>
    <row r="940" outlineLevel="1">
      <c r="A940" s="30"/>
      <c r="B940" s="59" t="str">
        <f t="shared" si="16"/>
        <v>The Umpire Strikes Back</v>
      </c>
      <c r="C940" s="32" t="s">
        <v>22</v>
      </c>
      <c r="D940" s="33"/>
      <c r="E940" s="33"/>
      <c r="F940" s="33" t="s">
        <v>51</v>
      </c>
      <c r="G940" s="36"/>
      <c r="H940" s="60" t="s">
        <v>1735</v>
      </c>
      <c r="I940" s="36"/>
      <c r="J940" s="36" t="s">
        <v>1736</v>
      </c>
      <c r="K940" s="60" t="str">
        <f t="shared" si="17"/>
        <v>The Umpire Strikes Back by Ron Luciano, David Fisher</v>
      </c>
    </row>
    <row r="941" outlineLevel="1">
      <c r="A941" s="30"/>
      <c r="B941" s="59" t="str">
        <f t="shared" si="16"/>
        <v>The Undoing Project: A Friendship That Changed Our Minds</v>
      </c>
      <c r="C941" s="32" t="s">
        <v>10</v>
      </c>
      <c r="D941" s="33"/>
      <c r="E941" s="33"/>
      <c r="F941" s="33" t="s">
        <v>51</v>
      </c>
      <c r="G941" s="36"/>
      <c r="H941" s="60" t="s">
        <v>706</v>
      </c>
      <c r="I941" s="36"/>
      <c r="J941" s="36" t="s">
        <v>1737</v>
      </c>
      <c r="K941" s="60" t="str">
        <f t="shared" si="17"/>
        <v>The Undoing Project: A Friendship That Changed Our Minds by Michael Lewis</v>
      </c>
    </row>
    <row r="942" outlineLevel="1">
      <c r="A942" s="30"/>
      <c r="B942" s="59" t="str">
        <f t="shared" si="16"/>
        <v>The Upside of Uncertainty: A Guide to Finding Possibility in the Unknown</v>
      </c>
      <c r="C942" s="32" t="s">
        <v>10</v>
      </c>
      <c r="D942" s="33"/>
      <c r="E942" s="33"/>
      <c r="F942" s="33" t="s">
        <v>51</v>
      </c>
      <c r="G942" s="36"/>
      <c r="H942" s="60" t="s">
        <v>1738</v>
      </c>
      <c r="I942" s="36"/>
      <c r="J942" s="36" t="s">
        <v>1739</v>
      </c>
      <c r="K942" s="60" t="str">
        <f t="shared" si="17"/>
        <v>The Upside of Uncertainty: A Guide to Finding Possibility in the Unknown by Nathan R. Furr</v>
      </c>
    </row>
    <row r="943" outlineLevel="1">
      <c r="A943" s="30"/>
      <c r="B943" s="59" t="str">
        <f t="shared" si="16"/>
        <v>The Vanishing Half: A GMA Book Club Pick (A Novel)</v>
      </c>
      <c r="C943" s="32" t="s">
        <v>10</v>
      </c>
      <c r="D943" s="33"/>
      <c r="E943" s="33"/>
      <c r="F943" s="33" t="s">
        <v>51</v>
      </c>
      <c r="G943" s="36"/>
      <c r="H943" s="60" t="s">
        <v>1740</v>
      </c>
      <c r="I943" s="36"/>
      <c r="J943" s="36" t="s">
        <v>1741</v>
      </c>
      <c r="K943" s="60" t="str">
        <f t="shared" si="17"/>
        <v>The Vanishing Half: A GMA Book Club Pick (A Novel) by Brit Bennett</v>
      </c>
    </row>
    <row r="944" outlineLevel="1">
      <c r="A944" s="30"/>
      <c r="B944" s="59" t="str">
        <f t="shared" si="16"/>
        <v>The Vanishing Season: A Mystery (Ellery Hathaway Book 1)</v>
      </c>
      <c r="C944" s="32" t="s">
        <v>10</v>
      </c>
      <c r="D944" s="33"/>
      <c r="E944" s="33"/>
      <c r="F944" s="33" t="s">
        <v>51</v>
      </c>
      <c r="G944" s="36"/>
      <c r="H944" s="60" t="s">
        <v>1742</v>
      </c>
      <c r="I944" s="36"/>
      <c r="J944" s="36" t="s">
        <v>1743</v>
      </c>
      <c r="K944" s="60" t="str">
        <f t="shared" si="17"/>
        <v>The Vanishing Season: A Mystery (Ellery Hathaway Book 1) by Joanna Schaffhausen</v>
      </c>
    </row>
    <row r="945" outlineLevel="1">
      <c r="A945" s="30"/>
      <c r="B945" s="59" t="str">
        <f t="shared" si="16"/>
        <v>The Violinist's Thumb: And Other Lost Tales of Love, War, and Genius, as Written</v>
      </c>
      <c r="C945" s="32" t="s">
        <v>10</v>
      </c>
      <c r="D945" s="33"/>
      <c r="E945" s="33"/>
      <c r="F945" s="33" t="s">
        <v>51</v>
      </c>
      <c r="G945" s="36"/>
      <c r="H945" s="60" t="s">
        <v>1744</v>
      </c>
      <c r="I945" s="36"/>
      <c r="J945" s="36" t="s">
        <v>1745</v>
      </c>
      <c r="K945" s="60" t="str">
        <f t="shared" si="17"/>
        <v>The Violinist's Thumb: And Other Lost Tales of Love, War, and Genius, as Written by Our Genetic Code</v>
      </c>
    </row>
    <row r="946" outlineLevel="1">
      <c r="A946" s="30"/>
      <c r="B946" s="59" t="str">
        <f t="shared" si="16"/>
        <v>The Viral Underclass: The Human Toll When Inequality and Disease Collide</v>
      </c>
      <c r="C946" s="32" t="s">
        <v>10</v>
      </c>
      <c r="D946" s="33"/>
      <c r="E946" s="33"/>
      <c r="F946" s="33" t="s">
        <v>51</v>
      </c>
      <c r="G946" s="36"/>
      <c r="H946" s="60" t="s">
        <v>1746</v>
      </c>
      <c r="I946" s="36"/>
      <c r="J946" s="36" t="s">
        <v>1747</v>
      </c>
      <c r="K946" s="60" t="str">
        <f t="shared" si="17"/>
        <v>The Viral Underclass: The Human Toll When Inequality and Disease Collide by Steven W. Thrasher</v>
      </c>
    </row>
    <row r="947" outlineLevel="1">
      <c r="A947" s="30"/>
      <c r="B947" s="59" t="str">
        <f t="shared" si="16"/>
        <v>The Water Knife</v>
      </c>
      <c r="C947" s="32" t="s">
        <v>10</v>
      </c>
      <c r="D947" s="33"/>
      <c r="E947" s="33"/>
      <c r="F947" s="33" t="s">
        <v>51</v>
      </c>
      <c r="G947" s="36"/>
      <c r="H947" s="60" t="s">
        <v>1748</v>
      </c>
      <c r="I947" s="36"/>
      <c r="J947" s="36" t="s">
        <v>1749</v>
      </c>
      <c r="K947" s="60" t="str">
        <f t="shared" si="17"/>
        <v>The Water Knife by Paolo Bacigalupi</v>
      </c>
    </row>
    <row r="948" outlineLevel="1">
      <c r="A948" s="30"/>
      <c r="B948" s="59" t="str">
        <f t="shared" si="16"/>
        <v>The Way of Kings: Book One of the Stormlight Archive (The Stormlight Archive, 1)</v>
      </c>
      <c r="C948" s="32" t="s">
        <v>10</v>
      </c>
      <c r="D948" s="33"/>
      <c r="E948" s="33"/>
      <c r="F948" s="33" t="s">
        <v>51</v>
      </c>
      <c r="G948" s="36"/>
      <c r="H948" s="60" t="s">
        <v>1750</v>
      </c>
      <c r="I948" s="36"/>
      <c r="J948" s="36" t="s">
        <v>1751</v>
      </c>
      <c r="K948" s="60" t="str">
        <f t="shared" si="17"/>
        <v>The Way of Kings: Book One of the Stormlight Archive (The Stormlight Archive, 1) by Brandon Sanderson</v>
      </c>
    </row>
    <row r="949" outlineLevel="1">
      <c r="A949" s="30"/>
      <c r="B949" s="59" t="str">
        <f t="shared" si="16"/>
        <v>The Whistler</v>
      </c>
      <c r="C949" s="32" t="s">
        <v>10</v>
      </c>
      <c r="D949" s="33"/>
      <c r="E949" s="33"/>
      <c r="F949" s="33" t="s">
        <v>51</v>
      </c>
      <c r="G949" s="36"/>
      <c r="H949" s="60" t="s">
        <v>1170</v>
      </c>
      <c r="I949" s="36"/>
      <c r="J949" s="36" t="s">
        <v>1752</v>
      </c>
      <c r="K949" s="60" t="str">
        <f t="shared" si="17"/>
        <v>The Whistler by John Grisham</v>
      </c>
    </row>
    <row r="950" outlineLevel="1">
      <c r="A950" s="30"/>
      <c r="B950" s="59" t="str">
        <f t="shared" si="16"/>
        <v>The White Tiger: A Novel</v>
      </c>
      <c r="C950" s="32" t="s">
        <v>10</v>
      </c>
      <c r="D950" s="33"/>
      <c r="E950" s="33"/>
      <c r="F950" s="33" t="s">
        <v>51</v>
      </c>
      <c r="G950" s="36"/>
      <c r="H950" s="60" t="s">
        <v>1753</v>
      </c>
      <c r="I950" s="36"/>
      <c r="J950" s="36" t="s">
        <v>1754</v>
      </c>
      <c r="K950" s="60" t="str">
        <f t="shared" si="17"/>
        <v>The White Tiger: A Novel by Aravind Adiga</v>
      </c>
    </row>
    <row r="951" outlineLevel="1">
      <c r="A951" s="30"/>
      <c r="B951" s="59" t="str">
        <f t="shared" si="16"/>
        <v>The Whites</v>
      </c>
      <c r="C951" s="32" t="s">
        <v>10</v>
      </c>
      <c r="D951" s="33"/>
      <c r="E951" s="33"/>
      <c r="F951" s="33" t="s">
        <v>51</v>
      </c>
      <c r="G951" s="36"/>
      <c r="H951" s="60" t="s">
        <v>1755</v>
      </c>
      <c r="I951" s="36"/>
      <c r="J951" s="36" t="s">
        <v>1756</v>
      </c>
      <c r="K951" s="60" t="str">
        <f t="shared" si="17"/>
        <v>The Whites by Richard Price</v>
      </c>
    </row>
    <row r="952" outlineLevel="1">
      <c r="A952" s="30"/>
      <c r="B952" s="59" t="str">
        <f t="shared" si="16"/>
        <v>The Widow</v>
      </c>
      <c r="C952" s="32" t="s">
        <v>10</v>
      </c>
      <c r="D952" s="33"/>
      <c r="E952" s="33"/>
      <c r="F952" s="33" t="s">
        <v>51</v>
      </c>
      <c r="G952" s="36"/>
      <c r="H952" s="60" t="s">
        <v>1757</v>
      </c>
      <c r="I952" s="36"/>
      <c r="J952" s="36" t="s">
        <v>1758</v>
      </c>
      <c r="K952" s="60" t="str">
        <f t="shared" si="17"/>
        <v>The Widow by Fiona Barton</v>
      </c>
    </row>
    <row r="953" outlineLevel="1">
      <c r="A953" s="30"/>
      <c r="B953" s="59" t="str">
        <f t="shared" si="16"/>
        <v>The Will of the Many (Hierarchy)</v>
      </c>
      <c r="C953" s="32" t="s">
        <v>10</v>
      </c>
      <c r="D953" s="33"/>
      <c r="E953" s="33"/>
      <c r="F953" s="33" t="s">
        <v>51</v>
      </c>
      <c r="G953" s="36"/>
      <c r="H953" s="60" t="s">
        <v>167</v>
      </c>
      <c r="I953" s="36"/>
      <c r="J953" s="36" t="s">
        <v>1759</v>
      </c>
      <c r="K953" s="60" t="str">
        <f t="shared" si="17"/>
        <v>The Will of the Many (Hierarchy) by James Islington</v>
      </c>
    </row>
    <row r="954" outlineLevel="1">
      <c r="A954" s="30"/>
      <c r="B954" s="59" t="str">
        <f t="shared" si="16"/>
        <v>The Wind-Up Bird Chronicle</v>
      </c>
      <c r="C954" s="32" t="s">
        <v>10</v>
      </c>
      <c r="D954" s="33"/>
      <c r="E954" s="33"/>
      <c r="F954" s="33" t="s">
        <v>51</v>
      </c>
      <c r="G954" s="36"/>
      <c r="H954" s="60" t="s">
        <v>1760</v>
      </c>
      <c r="I954" s="36"/>
      <c r="J954" s="36" t="s">
        <v>1761</v>
      </c>
      <c r="K954" s="60" t="str">
        <f t="shared" si="17"/>
        <v>The Wind-Up Bird Chronicle by Haruki Murakami, Jay Rubin</v>
      </c>
    </row>
    <row r="955" outlineLevel="1">
      <c r="A955" s="30"/>
      <c r="B955" s="59" t="str">
        <f t="shared" si="16"/>
        <v>The Wind-Up Bird Chronicle: A Novel</v>
      </c>
      <c r="C955" s="32" t="s">
        <v>10</v>
      </c>
      <c r="D955" s="33"/>
      <c r="E955" s="33"/>
      <c r="F955" s="33" t="s">
        <v>51</v>
      </c>
      <c r="G955" s="36"/>
      <c r="H955" s="60" t="s">
        <v>1762</v>
      </c>
      <c r="I955" s="36"/>
      <c r="J955" s="36" t="s">
        <v>1763</v>
      </c>
      <c r="K955" s="60" t="str">
        <f t="shared" si="17"/>
        <v>The Wind-Up Bird Chronicle: A Novel by Rupert Degas, Haruki Murakami</v>
      </c>
    </row>
    <row r="956" outlineLevel="1">
      <c r="A956" s="30"/>
      <c r="B956" s="59" t="str">
        <f t="shared" si="16"/>
        <v>The Winter People: A Suspense Thriller</v>
      </c>
      <c r="C956" s="32" t="s">
        <v>10</v>
      </c>
      <c r="D956" s="33"/>
      <c r="E956" s="33"/>
      <c r="F956" s="33" t="s">
        <v>51</v>
      </c>
      <c r="G956" s="36"/>
      <c r="H956" s="60" t="s">
        <v>1764</v>
      </c>
      <c r="I956" s="36"/>
      <c r="J956" s="36" t="s">
        <v>1765</v>
      </c>
      <c r="K956" s="60" t="str">
        <f t="shared" si="17"/>
        <v>The Winter People: A Suspense Thriller by Jennifer McMahon</v>
      </c>
    </row>
    <row r="957" outlineLevel="1">
      <c r="A957" s="30"/>
      <c r="B957" s="59" t="str">
        <f t="shared" si="16"/>
        <v>The Wise Men: Six Friends and the World They Made</v>
      </c>
      <c r="C957" s="32" t="s">
        <v>22</v>
      </c>
      <c r="D957" s="33"/>
      <c r="E957" s="33"/>
      <c r="F957" s="33" t="s">
        <v>51</v>
      </c>
      <c r="G957" s="36"/>
      <c r="H957" s="60" t="s">
        <v>1766</v>
      </c>
      <c r="I957" s="36"/>
      <c r="J957" s="36" t="s">
        <v>1767</v>
      </c>
      <c r="K957" s="60" t="str">
        <f t="shared" si="17"/>
        <v>The Wise Men: Six Friends and the World They Made by Walter Isaacson, Evan Thomas</v>
      </c>
    </row>
    <row r="958" outlineLevel="1">
      <c r="A958" s="30"/>
      <c r="B958" s="59" t="str">
        <f t="shared" si="16"/>
        <v>The Woman Upstairs</v>
      </c>
      <c r="C958" s="32" t="s">
        <v>10</v>
      </c>
      <c r="D958" s="33"/>
      <c r="E958" s="33"/>
      <c r="F958" s="33" t="s">
        <v>51</v>
      </c>
      <c r="G958" s="36"/>
      <c r="H958" s="60" t="s">
        <v>1768</v>
      </c>
      <c r="I958" s="36"/>
      <c r="J958" s="36" t="s">
        <v>1769</v>
      </c>
      <c r="K958" s="60" t="str">
        <f t="shared" si="17"/>
        <v>The Woman Upstairs by Claire Messud</v>
      </c>
    </row>
    <row r="959" outlineLevel="1">
      <c r="A959" s="30"/>
      <c r="B959" s="59" t="str">
        <f t="shared" si="16"/>
        <v>The Wonder</v>
      </c>
      <c r="C959" s="32" t="s">
        <v>10</v>
      </c>
      <c r="D959" s="33"/>
      <c r="E959" s="33"/>
      <c r="F959" s="33" t="s">
        <v>51</v>
      </c>
      <c r="G959" s="36"/>
      <c r="H959" s="60" t="s">
        <v>1770</v>
      </c>
      <c r="I959" s="36"/>
      <c r="J959" s="36" t="s">
        <v>1771</v>
      </c>
      <c r="K959" s="60" t="str">
        <f t="shared" si="17"/>
        <v>The Wonder by Emma Donoghue</v>
      </c>
    </row>
    <row r="960" outlineLevel="1">
      <c r="A960" s="30"/>
      <c r="B960" s="59" t="str">
        <f t="shared" si="16"/>
        <v>The Word Is Murder: A Mindbending Metafictional Murder Mystery (A Hawthorne and Horowitz Mystery, 1)</v>
      </c>
      <c r="C960" s="32" t="s">
        <v>10</v>
      </c>
      <c r="D960" s="33"/>
      <c r="E960" s="33"/>
      <c r="F960" s="33" t="s">
        <v>51</v>
      </c>
      <c r="G960" s="36"/>
      <c r="H960" s="60" t="s">
        <v>1772</v>
      </c>
      <c r="I960" s="36"/>
      <c r="J960" s="36" t="s">
        <v>1773</v>
      </c>
      <c r="K960" s="60" t="str">
        <f t="shared" si="17"/>
        <v>The Word Is Murder: A Mindbending Metafictional Murder Mystery (A Hawthorne and Horowitz Mystery, 1) by Anthony Horowitz</v>
      </c>
    </row>
    <row r="961" outlineLevel="1">
      <c r="A961" s="30"/>
      <c r="B961" s="59" t="str">
        <f t="shared" si="16"/>
        <v>The Worry Cure: Seven Steps to Stop Worry from Stopping You</v>
      </c>
      <c r="C961" s="32" t="s">
        <v>10</v>
      </c>
      <c r="D961" s="33"/>
      <c r="E961" s="33"/>
      <c r="F961" s="33" t="s">
        <v>51</v>
      </c>
      <c r="G961" s="36"/>
      <c r="H961" s="60" t="s">
        <v>1774</v>
      </c>
      <c r="I961" s="36"/>
      <c r="J961" s="36" t="s">
        <v>1775</v>
      </c>
      <c r="K961" s="60" t="str">
        <f t="shared" si="17"/>
        <v>The Worry Cure: Seven Steps to Stop Worry from Stopping You by Robert L. Leahy Phd</v>
      </c>
    </row>
    <row r="962" outlineLevel="1">
      <c r="A962" s="30"/>
      <c r="B962" s="59" t="str">
        <f t="shared" si="16"/>
        <v>The Yard</v>
      </c>
      <c r="C962" s="32" t="s">
        <v>10</v>
      </c>
      <c r="D962" s="33"/>
      <c r="E962" s="33"/>
      <c r="F962" s="33" t="s">
        <v>51</v>
      </c>
      <c r="G962" s="36" t="s">
        <v>1776</v>
      </c>
      <c r="H962" s="60" t="s">
        <v>1777</v>
      </c>
      <c r="I962" s="36"/>
      <c r="J962" s="36" t="s">
        <v>1778</v>
      </c>
      <c r="K962" s="60" t="str">
        <f t="shared" si="17"/>
        <v>The Yard by Alex Grecian</v>
      </c>
    </row>
    <row r="963" outlineLevel="1">
      <c r="A963" s="30"/>
      <c r="B963" s="59" t="str">
        <f t="shared" si="16"/>
        <v>The Year of the Runaways: A novel</v>
      </c>
      <c r="C963" s="32" t="s">
        <v>10</v>
      </c>
      <c r="D963" s="33"/>
      <c r="E963" s="33"/>
      <c r="F963" s="33" t="s">
        <v>51</v>
      </c>
      <c r="G963" s="36"/>
      <c r="H963" s="60" t="s">
        <v>1779</v>
      </c>
      <c r="I963" s="36"/>
      <c r="J963" s="36" t="s">
        <v>1780</v>
      </c>
      <c r="K963" s="60" t="str">
        <f t="shared" si="17"/>
        <v>The Year of the Runaways: A novel by Sunjeev Sahota</v>
      </c>
    </row>
    <row r="964" outlineLevel="1">
      <c r="A964" s="30"/>
      <c r="B964" s="59" t="str">
        <f t="shared" si="16"/>
        <v>The Yellow Birds: A Novel</v>
      </c>
      <c r="C964" s="32" t="s">
        <v>10</v>
      </c>
      <c r="D964" s="33"/>
      <c r="E964" s="33"/>
      <c r="F964" s="33" t="s">
        <v>51</v>
      </c>
      <c r="G964" s="36"/>
      <c r="H964" s="60" t="s">
        <v>1781</v>
      </c>
      <c r="I964" s="36"/>
      <c r="J964" s="36" t="s">
        <v>1782</v>
      </c>
      <c r="K964" s="60" t="str">
        <f t="shared" si="17"/>
        <v>The Yellow Birds: A Novel by Kevin Powers</v>
      </c>
    </row>
    <row r="965" outlineLevel="1">
      <c r="A965" s="30"/>
      <c r="B965" s="59" t="str">
        <f t="shared" si="16"/>
        <v>The Yellow House: A Memoir (2019 National Book Award Winner)</v>
      </c>
      <c r="C965" s="32" t="s">
        <v>10</v>
      </c>
      <c r="D965" s="33"/>
      <c r="E965" s="33"/>
      <c r="F965" s="33" t="s">
        <v>51</v>
      </c>
      <c r="G965" s="36"/>
      <c r="H965" s="60" t="s">
        <v>1783</v>
      </c>
      <c r="I965" s="36"/>
      <c r="J965" s="36" t="s">
        <v>1784</v>
      </c>
      <c r="K965" s="60" t="str">
        <f t="shared" si="17"/>
        <v>The Yellow House: A Memoir (2019 National Book Award Winner) by Sarah M. Broom</v>
      </c>
    </row>
    <row r="966" outlineLevel="1">
      <c r="A966" s="30"/>
      <c r="B966" s="59" t="str">
        <f t="shared" si="16"/>
        <v>Then I Am Myself the World: What Consciousness Is and How to Expand It</v>
      </c>
      <c r="C966" s="32" t="s">
        <v>10</v>
      </c>
      <c r="D966" s="33"/>
      <c r="E966" s="33"/>
      <c r="F966" s="33" t="s">
        <v>51</v>
      </c>
      <c r="G966" s="36"/>
      <c r="H966" s="60" t="s">
        <v>1785</v>
      </c>
      <c r="I966" s="36"/>
      <c r="J966" s="36" t="s">
        <v>1786</v>
      </c>
      <c r="K966" s="60" t="str">
        <f t="shared" si="17"/>
        <v>Then I Am Myself the World: What Consciousness Is and How to Expand It by Dr. Christof Koch PhD</v>
      </c>
    </row>
    <row r="967" outlineLevel="1">
      <c r="A967" s="30"/>
      <c r="B967" s="59" t="str">
        <f t="shared" si="16"/>
        <v>Then She Was Gone: A Novel</v>
      </c>
      <c r="C967" s="32" t="s">
        <v>10</v>
      </c>
      <c r="D967" s="33"/>
      <c r="E967" s="33"/>
      <c r="F967" s="33" t="s">
        <v>51</v>
      </c>
      <c r="G967" s="36"/>
      <c r="H967" s="60" t="s">
        <v>1447</v>
      </c>
      <c r="I967" s="36"/>
      <c r="J967" s="36" t="s">
        <v>1787</v>
      </c>
      <c r="K967" s="60" t="str">
        <f t="shared" si="17"/>
        <v>Then She Was Gone: A Novel by Lisa Jewell</v>
      </c>
    </row>
    <row r="968" outlineLevel="1">
      <c r="A968" s="30"/>
      <c r="B968" s="59" t="str">
        <f t="shared" si="16"/>
        <v>They Came to Fish: A Brief Look at Portmouth's 350 Years of History : Its Local and World-Wide Involvements, and the People Concerned, Through the</v>
      </c>
      <c r="C968" s="32" t="s">
        <v>22</v>
      </c>
      <c r="D968" s="33"/>
      <c r="E968" s="33"/>
      <c r="F968" s="33" t="s">
        <v>51</v>
      </c>
      <c r="G968" s="36"/>
      <c r="H968" s="60" t="s">
        <v>1788</v>
      </c>
      <c r="I968" s="36"/>
      <c r="J968" s="36" t="s">
        <v>1789</v>
      </c>
      <c r="K968" s="60" t="str">
        <f t="shared" si="17"/>
        <v>They Came to Fish: A Brief Look at Portmouth's 350 Years of History : Its Local and World-Wide Involvements, and the People Concerned, Through the by Ray Brighton</v>
      </c>
    </row>
    <row r="969" outlineLevel="1">
      <c r="A969" s="30"/>
      <c r="B969" s="59" t="str">
        <f t="shared" si="16"/>
        <v>Thinking Differently: An Inspiring Guide for Parents of Children with Learning Disabilities</v>
      </c>
      <c r="C969" s="32" t="s">
        <v>22</v>
      </c>
      <c r="D969" s="33"/>
      <c r="E969" s="33"/>
      <c r="F969" s="33" t="s">
        <v>51</v>
      </c>
      <c r="G969" s="36"/>
      <c r="H969" s="60" t="s">
        <v>1790</v>
      </c>
      <c r="I969" s="36"/>
      <c r="J969" s="36" t="s">
        <v>1791</v>
      </c>
      <c r="K969" s="60" t="str">
        <f t="shared" si="17"/>
        <v>Thinking Differently: An Inspiring Guide for Parents of Children with Learning Disabilities by Roger Wayne, David Flink</v>
      </c>
    </row>
    <row r="970" outlineLevel="1">
      <c r="A970" s="30"/>
      <c r="B970" s="59" t="str">
        <f t="shared" si="16"/>
        <v>Thinking in Bets: Making Smarter Decisions When You Don't Have All the Facts</v>
      </c>
      <c r="C970" s="32" t="s">
        <v>22</v>
      </c>
      <c r="D970" s="33"/>
      <c r="E970" s="33"/>
      <c r="F970" s="33" t="s">
        <v>51</v>
      </c>
      <c r="G970" s="36"/>
      <c r="H970" s="60" t="s">
        <v>1130</v>
      </c>
      <c r="I970" s="36"/>
      <c r="J970" s="36" t="s">
        <v>1792</v>
      </c>
      <c r="K970" s="60" t="str">
        <f t="shared" si="17"/>
        <v>Thinking in Bets: Making Smarter Decisions When You Don't Have All the Facts by Annie Duke</v>
      </c>
    </row>
    <row r="971" outlineLevel="1">
      <c r="A971" s="30"/>
      <c r="B971" s="59" t="str">
        <f t="shared" si="16"/>
        <v>Thinner (The Bachman Books)</v>
      </c>
      <c r="C971" s="32" t="s">
        <v>10</v>
      </c>
      <c r="D971" s="33"/>
      <c r="E971" s="33"/>
      <c r="F971" s="33" t="s">
        <v>51</v>
      </c>
      <c r="G971" s="36"/>
      <c r="H971" s="60" t="s">
        <v>698</v>
      </c>
      <c r="I971" s="36"/>
      <c r="J971" s="36" t="s">
        <v>1793</v>
      </c>
      <c r="K971" s="60" t="str">
        <f t="shared" si="17"/>
        <v>Thinner (The Bachman Books) by Stephen King</v>
      </c>
    </row>
    <row r="972" outlineLevel="1">
      <c r="A972" s="30"/>
      <c r="B972" s="59" t="str">
        <f t="shared" si="16"/>
        <v>This Is How You Lose the Time War</v>
      </c>
      <c r="C972" s="32" t="s">
        <v>10</v>
      </c>
      <c r="D972" s="33"/>
      <c r="E972" s="33"/>
      <c r="F972" s="33" t="s">
        <v>51</v>
      </c>
      <c r="G972" s="36"/>
      <c r="H972" s="60" t="s">
        <v>1794</v>
      </c>
      <c r="I972" s="36"/>
      <c r="J972" s="36" t="s">
        <v>1795</v>
      </c>
      <c r="K972" s="60" t="str">
        <f t="shared" si="17"/>
        <v>This Is How You Lose the Time War by Amal El-Mohtar, Max Gladstone</v>
      </c>
    </row>
    <row r="973" outlineLevel="1">
      <c r="A973" s="30"/>
      <c r="B973" s="59" t="str">
        <f t="shared" si="16"/>
        <v>Three Graves Full</v>
      </c>
      <c r="C973" s="32" t="s">
        <v>10</v>
      </c>
      <c r="D973" s="33"/>
      <c r="E973" s="33"/>
      <c r="F973" s="33" t="s">
        <v>51</v>
      </c>
      <c r="G973" s="36"/>
      <c r="H973" s="60" t="s">
        <v>1796</v>
      </c>
      <c r="I973" s="36"/>
      <c r="J973" s="36" t="s">
        <v>1797</v>
      </c>
      <c r="K973" s="60" t="str">
        <f t="shared" si="17"/>
        <v>Three Graves Full by Jamie Mason</v>
      </c>
    </row>
    <row r="974" outlineLevel="1">
      <c r="A974" s="30"/>
      <c r="B974" s="59" t="str">
        <f t="shared" si="16"/>
        <v>Thus Spoke Zarathustra: A Book for All and None</v>
      </c>
      <c r="C974" s="32" t="s">
        <v>22</v>
      </c>
      <c r="D974" s="33"/>
      <c r="E974" s="33"/>
      <c r="F974" s="33" t="s">
        <v>51</v>
      </c>
      <c r="G974" s="36"/>
      <c r="H974" s="60" t="s">
        <v>1798</v>
      </c>
      <c r="I974" s="36"/>
      <c r="J974" s="36" t="s">
        <v>1799</v>
      </c>
      <c r="K974" s="60" t="str">
        <f t="shared" si="17"/>
        <v>Thus Spoke Zarathustra: A Book for All and None by Friedrich Nietzsche, Christopher Oxford</v>
      </c>
    </row>
    <row r="975" outlineLevel="1">
      <c r="A975" s="30"/>
      <c r="B975" s="59" t="str">
        <f t="shared" si="16"/>
        <v>TO SPEAK FOR THE DEAD (Jake Lassiter Legal Thrillers Book 1)</v>
      </c>
      <c r="C975" s="32" t="s">
        <v>10</v>
      </c>
      <c r="D975" s="33"/>
      <c r="E975" s="33"/>
      <c r="F975" s="33" t="s">
        <v>51</v>
      </c>
      <c r="G975" s="36"/>
      <c r="H975" s="60" t="s">
        <v>1800</v>
      </c>
      <c r="I975" s="36"/>
      <c r="J975" s="36" t="s">
        <v>1801</v>
      </c>
      <c r="K975" s="60" t="str">
        <f t="shared" si="17"/>
        <v>TO SPEAK FOR THE DEAD (Jake Lassiter Legal Thrillers Book 1) by Paul Levine</v>
      </c>
    </row>
    <row r="976" outlineLevel="1">
      <c r="A976" s="30"/>
      <c r="B976" s="59" t="str">
        <f t="shared" si="16"/>
        <v>Tracers in the Dark: The Global Hunt for the Crime Lords of Cryptocurrency</v>
      </c>
      <c r="C976" s="32" t="s">
        <v>10</v>
      </c>
      <c r="D976" s="33"/>
      <c r="E976" s="33"/>
      <c r="F976" s="33" t="s">
        <v>51</v>
      </c>
      <c r="G976" s="36"/>
      <c r="H976" s="60" t="s">
        <v>1802</v>
      </c>
      <c r="I976" s="36"/>
      <c r="J976" s="36" t="s">
        <v>1803</v>
      </c>
      <c r="K976" s="60" t="str">
        <f t="shared" si="17"/>
        <v>Tracers in the Dark: The Global Hunt for the Crime Lords of Cryptocurrency by Andy Greenberg</v>
      </c>
    </row>
    <row r="977" outlineLevel="1">
      <c r="A977" s="30"/>
      <c r="B977" s="59" t="str">
        <f t="shared" si="16"/>
        <v>Traction: Get a Grip on Your Business</v>
      </c>
      <c r="C977" s="32" t="s">
        <v>10</v>
      </c>
      <c r="D977" s="33"/>
      <c r="E977" s="33"/>
      <c r="F977" s="33" t="s">
        <v>51</v>
      </c>
      <c r="G977" s="36"/>
      <c r="H977" s="60" t="s">
        <v>1804</v>
      </c>
      <c r="I977" s="36"/>
      <c r="J977" s="36" t="s">
        <v>1805</v>
      </c>
      <c r="K977" s="60" t="str">
        <f t="shared" si="17"/>
        <v>Traction: Get a Grip on Your Business by Gino Wickman</v>
      </c>
    </row>
    <row r="978" outlineLevel="1">
      <c r="A978" s="30"/>
      <c r="B978" s="59" t="str">
        <f t="shared" si="16"/>
        <v>TransAtlantic: A Novel</v>
      </c>
      <c r="C978" s="32" t="s">
        <v>10</v>
      </c>
      <c r="D978" s="33"/>
      <c r="E978" s="33"/>
      <c r="F978" s="33" t="s">
        <v>51</v>
      </c>
      <c r="G978" s="36"/>
      <c r="H978" s="60" t="s">
        <v>1806</v>
      </c>
      <c r="I978" s="36"/>
      <c r="J978" s="36" t="s">
        <v>1807</v>
      </c>
      <c r="K978" s="60" t="str">
        <f t="shared" si="17"/>
        <v>TransAtlantic: A Novel by Colum McCann</v>
      </c>
    </row>
    <row r="979" outlineLevel="1">
      <c r="A979" s="30"/>
      <c r="B979" s="59" t="str">
        <f t="shared" si="16"/>
        <v>Traps</v>
      </c>
      <c r="C979" s="32" t="s">
        <v>10</v>
      </c>
      <c r="D979" s="33"/>
      <c r="E979" s="33"/>
      <c r="F979" s="33" t="s">
        <v>51</v>
      </c>
      <c r="G979" s="36"/>
      <c r="H979" s="60" t="s">
        <v>1808</v>
      </c>
      <c r="I979" s="36"/>
      <c r="J979" s="36" t="s">
        <v>1809</v>
      </c>
      <c r="K979" s="60" t="str">
        <f t="shared" si="17"/>
        <v>Traps by MacKenzie Bezos</v>
      </c>
    </row>
    <row r="980" outlineLevel="1">
      <c r="A980" s="30"/>
      <c r="B980" s="59" t="str">
        <f t="shared" si="16"/>
        <v>Triumph of the City: How Our Greatest Invention Makes Us Richer, Smarter, Greener, Healthier, and Happier</v>
      </c>
      <c r="C980" s="32" t="s">
        <v>10</v>
      </c>
      <c r="D980" s="33"/>
      <c r="E980" s="33"/>
      <c r="F980" s="33" t="s">
        <v>51</v>
      </c>
      <c r="G980" s="36"/>
      <c r="H980" s="60" t="s">
        <v>1810</v>
      </c>
      <c r="I980" s="36"/>
      <c r="J980" s="36" t="s">
        <v>1811</v>
      </c>
      <c r="K980" s="60" t="str">
        <f t="shared" si="17"/>
        <v>Triumph of the City: How Our Greatest Invention Makes Us Richer, Smarter, Greener, Healthier, and Happier by Edward Glaeser</v>
      </c>
    </row>
    <row r="981" outlineLevel="1">
      <c r="A981" s="30"/>
      <c r="B981" s="59" t="str">
        <f t="shared" si="16"/>
        <v>Tuesday Mooney Talks To Ghosts</v>
      </c>
      <c r="C981" s="32" t="s">
        <v>10</v>
      </c>
      <c r="D981" s="33"/>
      <c r="E981" s="33"/>
      <c r="F981" s="33" t="s">
        <v>51</v>
      </c>
      <c r="G981" s="36"/>
      <c r="H981" s="60" t="s">
        <v>1812</v>
      </c>
      <c r="I981" s="36"/>
      <c r="J981" s="36" t="s">
        <v>1813</v>
      </c>
      <c r="K981" s="60" t="str">
        <f t="shared" si="17"/>
        <v>Tuesday Mooney Talks To Ghosts by Kate Racculia</v>
      </c>
    </row>
    <row r="982" outlineLevel="1">
      <c r="A982" s="30"/>
      <c r="B982" s="59" t="str">
        <f t="shared" si="16"/>
        <v>Turtles All the Way Down</v>
      </c>
      <c r="C982" s="32" t="s">
        <v>10</v>
      </c>
      <c r="D982" s="33"/>
      <c r="E982" s="33"/>
      <c r="F982" s="33" t="s">
        <v>51</v>
      </c>
      <c r="G982" s="36"/>
      <c r="H982" s="60" t="s">
        <v>1814</v>
      </c>
      <c r="I982" s="36"/>
      <c r="J982" s="36" t="s">
        <v>1815</v>
      </c>
      <c r="K982" s="60" t="str">
        <f t="shared" si="17"/>
        <v>Turtles All the Way Down by John Green</v>
      </c>
    </row>
    <row r="983" outlineLevel="1">
      <c r="A983" s="30"/>
      <c r="B983" s="59" t="str">
        <f t="shared" si="16"/>
        <v>Twelve Caesars: Images of Power from the Ancient World to the Modern</v>
      </c>
      <c r="C983" s="32" t="s">
        <v>10</v>
      </c>
      <c r="D983" s="33"/>
      <c r="E983" s="33"/>
      <c r="F983" s="33" t="s">
        <v>51</v>
      </c>
      <c r="G983" s="36"/>
      <c r="H983" s="60" t="s">
        <v>662</v>
      </c>
      <c r="I983" s="36"/>
      <c r="J983" s="36" t="s">
        <v>1816</v>
      </c>
      <c r="K983" s="60" t="str">
        <f t="shared" si="17"/>
        <v>Twelve Caesars: Images of Power from the Ancient World to the Modern by Mary Beard</v>
      </c>
    </row>
    <row r="984" outlineLevel="1">
      <c r="A984" s="30"/>
      <c r="B984" s="59" t="str">
        <f t="shared" si="16"/>
        <v>Two Days Gone: A Literary Thriller (Ryan DeMarco Mystery, 1)</v>
      </c>
      <c r="C984" s="32" t="s">
        <v>10</v>
      </c>
      <c r="D984" s="33"/>
      <c r="E984" s="33"/>
      <c r="F984" s="33" t="s">
        <v>51</v>
      </c>
      <c r="G984" s="36"/>
      <c r="H984" s="60" t="s">
        <v>1817</v>
      </c>
      <c r="I984" s="36"/>
      <c r="J984" s="36" t="s">
        <v>1818</v>
      </c>
      <c r="K984" s="60" t="str">
        <f t="shared" si="17"/>
        <v>Two Days Gone: A Literary Thriller (Ryan DeMarco Mystery, 1) by Randall Silvis</v>
      </c>
    </row>
    <row r="985" outlineLevel="1">
      <c r="A985" s="30"/>
      <c r="B985" s="59" t="str">
        <f t="shared" si="16"/>
        <v>Uncommon Carriers</v>
      </c>
      <c r="C985" s="32" t="s">
        <v>10</v>
      </c>
      <c r="D985" s="33"/>
      <c r="E985" s="33"/>
      <c r="F985" s="33" t="s">
        <v>51</v>
      </c>
      <c r="G985" s="36"/>
      <c r="H985" s="60" t="s">
        <v>1819</v>
      </c>
      <c r="I985" s="36"/>
      <c r="J985" s="36" t="s">
        <v>1820</v>
      </c>
      <c r="K985" s="60" t="str">
        <f t="shared" si="17"/>
        <v>Uncommon Carriers by John McPhee</v>
      </c>
    </row>
    <row r="986" outlineLevel="1">
      <c r="A986" s="30"/>
      <c r="B986" s="59" t="str">
        <f t="shared" si="16"/>
        <v>Under a Flaming Sky: The Great Hinckley Firestorm of 1894</v>
      </c>
      <c r="C986" s="32" t="s">
        <v>10</v>
      </c>
      <c r="D986" s="33"/>
      <c r="E986" s="33"/>
      <c r="F986" s="33" t="s">
        <v>51</v>
      </c>
      <c r="G986" s="36"/>
      <c r="H986" s="60" t="s">
        <v>1821</v>
      </c>
      <c r="I986" s="36"/>
      <c r="J986" s="36" t="s">
        <v>1822</v>
      </c>
      <c r="K986" s="60" t="str">
        <f t="shared" si="17"/>
        <v>Under a Flaming Sky: The Great Hinckley Firestorm of 1894 by Daniel Brown</v>
      </c>
    </row>
    <row r="987" outlineLevel="1">
      <c r="A987" s="30"/>
      <c r="B987" s="59" t="str">
        <f t="shared" si="16"/>
        <v>Under New Management: How Leading Organizations Are Upending Business As Usual</v>
      </c>
      <c r="C987" s="32" t="s">
        <v>10</v>
      </c>
      <c r="D987" s="33"/>
      <c r="E987" s="33"/>
      <c r="F987" s="33" t="s">
        <v>51</v>
      </c>
      <c r="G987" s="36"/>
      <c r="H987" s="60" t="s">
        <v>1823</v>
      </c>
      <c r="I987" s="36"/>
      <c r="J987" s="36" t="s">
        <v>1824</v>
      </c>
      <c r="K987" s="60" t="str">
        <f t="shared" si="17"/>
        <v>Under New Management: How Leading Organizations Are Upending Business As Usual by David Burkus</v>
      </c>
    </row>
    <row r="988" outlineLevel="1">
      <c r="A988" s="30"/>
      <c r="B988" s="59" t="str">
        <f t="shared" si="16"/>
        <v>Under the Affluence: Shaming the Poor, Praising the Rich and Sacrificing the Future of America (City Lights Open Media)</v>
      </c>
      <c r="C988" s="32" t="s">
        <v>10</v>
      </c>
      <c r="D988" s="33"/>
      <c r="E988" s="33"/>
      <c r="F988" s="33" t="s">
        <v>51</v>
      </c>
      <c r="G988" s="36"/>
      <c r="H988" s="60" t="s">
        <v>1825</v>
      </c>
      <c r="I988" s="36"/>
      <c r="J988" s="36" t="s">
        <v>1826</v>
      </c>
      <c r="K988" s="60" t="str">
        <f t="shared" si="17"/>
        <v>Under the Affluence: Shaming the Poor, Praising the Rich and Sacrificing the Future of America (City Lights Open Media) by Tim Wise</v>
      </c>
    </row>
    <row r="989" outlineLevel="1">
      <c r="A989" s="30"/>
      <c r="B989" s="59" t="str">
        <f t="shared" si="16"/>
        <v>Under the Banner of Heaven: A Story of Violent Faith</v>
      </c>
      <c r="C989" s="32" t="s">
        <v>10</v>
      </c>
      <c r="D989" s="33"/>
      <c r="E989" s="33"/>
      <c r="F989" s="33" t="s">
        <v>51</v>
      </c>
      <c r="G989" s="36"/>
      <c r="H989" s="60" t="s">
        <v>1827</v>
      </c>
      <c r="I989" s="36"/>
      <c r="J989" s="36" t="s">
        <v>1828</v>
      </c>
      <c r="K989" s="60" t="str">
        <f t="shared" si="17"/>
        <v>Under the Banner of Heaven: A Story of Violent Faith by Jon Krakauer</v>
      </c>
    </row>
    <row r="990" outlineLevel="1">
      <c r="A990" s="30"/>
      <c r="B990" s="59" t="str">
        <f t="shared" si="16"/>
        <v>UNIX: A History and a Memoir</v>
      </c>
      <c r="C990" s="32" t="s">
        <v>22</v>
      </c>
      <c r="D990" s="33"/>
      <c r="E990" s="33"/>
      <c r="F990" s="33" t="s">
        <v>51</v>
      </c>
      <c r="G990" s="36"/>
      <c r="H990" s="60" t="s">
        <v>1829</v>
      </c>
      <c r="I990" s="36"/>
      <c r="J990" s="36" t="s">
        <v>1830</v>
      </c>
      <c r="K990" s="60" t="str">
        <f t="shared" si="17"/>
        <v>UNIX: A History and a Memoir by Brian W Kernighan</v>
      </c>
    </row>
    <row r="991" outlineLevel="1">
      <c r="A991" s="30"/>
      <c r="B991" s="59" t="str">
        <f t="shared" si="16"/>
        <v>Unlocking Leadership Mindtraps: How to Thrive in Complexity</v>
      </c>
      <c r="C991" s="32" t="s">
        <v>22</v>
      </c>
      <c r="D991" s="33"/>
      <c r="E991" s="33"/>
      <c r="F991" s="33" t="s">
        <v>51</v>
      </c>
      <c r="G991" s="36"/>
      <c r="H991" s="60" t="s">
        <v>1831</v>
      </c>
      <c r="I991" s="36"/>
      <c r="J991" s="36" t="s">
        <v>1832</v>
      </c>
      <c r="K991" s="60" t="str">
        <f t="shared" si="17"/>
        <v>Unlocking Leadership Mindtraps: How to Thrive in Complexity by Jennifer Garvey Berger</v>
      </c>
    </row>
    <row r="992" outlineLevel="1">
      <c r="A992" s="30"/>
      <c r="B992" s="59" t="str">
        <f t="shared" si="16"/>
        <v>Unstoppable: 45 Powerful Stories of Perseverance and Triumph from People Just Like You</v>
      </c>
      <c r="C992" s="32" t="s">
        <v>22</v>
      </c>
      <c r="D992" s="33"/>
      <c r="E992" s="33"/>
      <c r="F992" s="33" t="s">
        <v>51</v>
      </c>
      <c r="G992" s="36"/>
      <c r="H992" s="60" t="s">
        <v>1833</v>
      </c>
      <c r="I992" s="36"/>
      <c r="J992" s="36" t="s">
        <v>1834</v>
      </c>
      <c r="K992" s="60" t="str">
        <f t="shared" si="17"/>
        <v>Unstoppable: 45 Powerful Stories of Perseverance and Triumph from People Just Like You by Cynthia Kersey</v>
      </c>
    </row>
    <row r="993" outlineLevel="1">
      <c r="A993" s="30"/>
      <c r="B993" s="59" t="str">
        <f t="shared" si="16"/>
        <v>Untamed: Reese's Book Club</v>
      </c>
      <c r="C993" s="32" t="s">
        <v>10</v>
      </c>
      <c r="D993" s="33"/>
      <c r="E993" s="33"/>
      <c r="F993" s="33" t="s">
        <v>51</v>
      </c>
      <c r="G993" s="36"/>
      <c r="H993" s="60" t="s">
        <v>1835</v>
      </c>
      <c r="I993" s="36"/>
      <c r="J993" s="36" t="s">
        <v>1836</v>
      </c>
      <c r="K993" s="60" t="str">
        <f t="shared" si="17"/>
        <v>Untamed: Reese's Book Club by Glennon Doyle</v>
      </c>
    </row>
    <row r="994" outlineLevel="1">
      <c r="A994" s="30"/>
      <c r="B994" s="59" t="str">
        <f t="shared" si="16"/>
        <v>Untangled: Guiding Teenage Girls Through the Seven Transitions into Adulthood</v>
      </c>
      <c r="C994" s="32" t="s">
        <v>22</v>
      </c>
      <c r="D994" s="33"/>
      <c r="E994" s="33"/>
      <c r="F994" s="33" t="s">
        <v>51</v>
      </c>
      <c r="G994" s="36"/>
      <c r="H994" s="60" t="s">
        <v>1837</v>
      </c>
      <c r="I994" s="36"/>
      <c r="J994" s="36" t="s">
        <v>1838</v>
      </c>
      <c r="K994" s="60" t="str">
        <f t="shared" si="17"/>
        <v>Untangled: Guiding Teenage Girls Through the Seven Transitions into Adulthood by Lisa Damour Ph.D.</v>
      </c>
    </row>
    <row r="995" outlineLevel="1">
      <c r="A995" s="30"/>
      <c r="B995" s="59" t="str">
        <f t="shared" si="16"/>
        <v>Until Proven Innocent: Political Correctness and the Shameful Injustices of the Duke Lacrosse Rape Case</v>
      </c>
      <c r="C995" s="32" t="s">
        <v>10</v>
      </c>
      <c r="D995" s="33"/>
      <c r="E995" s="33"/>
      <c r="F995" s="33" t="s">
        <v>51</v>
      </c>
      <c r="G995" s="36"/>
      <c r="H995" s="60" t="s">
        <v>1839</v>
      </c>
      <c r="I995" s="36"/>
      <c r="J995" s="36" t="s">
        <v>1840</v>
      </c>
      <c r="K995" s="60" t="str">
        <f t="shared" si="17"/>
        <v>Until Proven Innocent: Political Correctness and the Shameful Injustices of the Duke Lacrosse Rape Case by Stuart Taylor Jr., KC Johnson</v>
      </c>
    </row>
    <row r="996" outlineLevel="1">
      <c r="A996" s="30"/>
      <c r="B996" s="59" t="str">
        <f t="shared" si="16"/>
        <v>Validation: How the Skill Set That Revolutionized Psychology Will Transform Your Relationships, Increase Your Influence, and Change Your Life</v>
      </c>
      <c r="C996" s="32" t="s">
        <v>22</v>
      </c>
      <c r="D996" s="33"/>
      <c r="E996" s="33"/>
      <c r="F996" s="33" t="s">
        <v>51</v>
      </c>
      <c r="G996" s="36"/>
      <c r="H996" s="60" t="s">
        <v>1841</v>
      </c>
      <c r="I996" s="36"/>
      <c r="J996" s="36" t="s">
        <v>1842</v>
      </c>
      <c r="K996" s="60" t="str">
        <f t="shared" si="17"/>
        <v>Validation: How the Skill Set That Revolutionized Psychology Will Transform Your Relationships, Increase Your Influence, and Change Your Life by Caroline Fleck PhD</v>
      </c>
    </row>
    <row r="997" outlineLevel="1">
      <c r="A997" s="30"/>
      <c r="B997" s="59" t="str">
        <f t="shared" si="16"/>
        <v>Waiting: A Caldecott Honor Award Winner</v>
      </c>
      <c r="C997" s="32" t="s">
        <v>10</v>
      </c>
      <c r="D997" s="33"/>
      <c r="E997" s="33"/>
      <c r="F997" s="33" t="s">
        <v>51</v>
      </c>
      <c r="G997" s="36"/>
      <c r="H997" s="60" t="s">
        <v>1843</v>
      </c>
      <c r="I997" s="36"/>
      <c r="J997" s="36" t="s">
        <v>1844</v>
      </c>
      <c r="K997" s="60" t="str">
        <f t="shared" si="17"/>
        <v>Waiting: A Caldecott Honor Award Winner by Kevin Henkes</v>
      </c>
    </row>
    <row r="998" outlineLevel="1">
      <c r="A998" s="30"/>
      <c r="B998" s="59" t="str">
        <f t="shared" si="16"/>
        <v>Waiting: A Novel</v>
      </c>
      <c r="C998" s="32" t="s">
        <v>10</v>
      </c>
      <c r="D998" s="33"/>
      <c r="E998" s="33"/>
      <c r="F998" s="33" t="s">
        <v>51</v>
      </c>
      <c r="G998" s="36"/>
      <c r="H998" s="60" t="s">
        <v>1845</v>
      </c>
      <c r="I998" s="36"/>
      <c r="J998" s="36" t="s">
        <v>1846</v>
      </c>
      <c r="K998" s="60" t="str">
        <f t="shared" si="17"/>
        <v>Waiting: A Novel by Ha Jin</v>
      </c>
    </row>
    <row r="999" outlineLevel="1">
      <c r="A999" s="30"/>
      <c r="B999" s="59" t="str">
        <f t="shared" si="16"/>
        <v>Waking Up White, and Finding Myself in the Story of Race</v>
      </c>
      <c r="C999" s="32" t="s">
        <v>10</v>
      </c>
      <c r="D999" s="33"/>
      <c r="E999" s="33"/>
      <c r="F999" s="33" t="s">
        <v>51</v>
      </c>
      <c r="G999" s="36"/>
      <c r="H999" s="60" t="s">
        <v>1847</v>
      </c>
      <c r="I999" s="36"/>
      <c r="J999" s="36" t="s">
        <v>1848</v>
      </c>
      <c r="K999" s="60" t="str">
        <f t="shared" si="17"/>
        <v>Waking Up White, and Finding Myself in the Story of Race by Debby Irving</v>
      </c>
    </row>
    <row r="1000" outlineLevel="1">
      <c r="A1000" s="30"/>
      <c r="B1000" s="59" t="str">
        <f t="shared" si="16"/>
        <v>Wanderer's Escape</v>
      </c>
      <c r="C1000" s="32" t="s">
        <v>10</v>
      </c>
      <c r="D1000" s="33"/>
      <c r="E1000" s="33"/>
      <c r="F1000" s="33" t="s">
        <v>51</v>
      </c>
      <c r="G1000" s="36" t="s">
        <v>1849</v>
      </c>
      <c r="H1000" s="60" t="s">
        <v>1850</v>
      </c>
      <c r="I1000" s="36"/>
      <c r="J1000" s="36" t="s">
        <v>1851</v>
      </c>
      <c r="K1000" s="60" t="str">
        <f t="shared" si="17"/>
        <v>Wanderer's Escape by Simon Goodson</v>
      </c>
    </row>
    <row r="1001" outlineLevel="1">
      <c r="A1001" s="30"/>
      <c r="B1001" s="59" t="str">
        <f t="shared" si="16"/>
        <v>Warped Passages: Unraveling the Mysteries of the Universe's Hidden Dimensions – A New York Times Notable Book: Brilliantly Clear Relativity and Quantum Mechanics</v>
      </c>
      <c r="C1001" s="32" t="s">
        <v>10</v>
      </c>
      <c r="D1001" s="33"/>
      <c r="E1001" s="33"/>
      <c r="F1001" s="33" t="s">
        <v>51</v>
      </c>
      <c r="G1001" s="36"/>
      <c r="H1001" s="60" t="s">
        <v>1852</v>
      </c>
      <c r="I1001" s="36"/>
      <c r="J1001" s="36" t="s">
        <v>1853</v>
      </c>
      <c r="K1001" s="60" t="str">
        <f t="shared" si="17"/>
        <v>Warped Passages: Unraveling the Mysteries of the Universe's Hidden Dimensions – A New York Times Notable Book: Brilliantly Clear Relativity and Quantum Mechanics by Lisa Randall</v>
      </c>
    </row>
    <row r="1002" outlineLevel="1">
      <c r="A1002" s="30"/>
      <c r="B1002" s="59" t="str">
        <f t="shared" si="16"/>
        <v>Water for Elephants: A Novel</v>
      </c>
      <c r="C1002" s="32" t="s">
        <v>10</v>
      </c>
      <c r="D1002" s="33"/>
      <c r="E1002" s="33"/>
      <c r="F1002" s="33" t="s">
        <v>51</v>
      </c>
      <c r="G1002" s="36"/>
      <c r="H1002" s="60" t="s">
        <v>1854</v>
      </c>
      <c r="I1002" s="36"/>
      <c r="J1002" s="36" t="s">
        <v>1855</v>
      </c>
      <c r="K1002" s="60" t="str">
        <f t="shared" si="17"/>
        <v>Water for Elephants: A Novel by Sara Gruen</v>
      </c>
    </row>
    <row r="1003" outlineLevel="1">
      <c r="A1003" s="30"/>
      <c r="B1003" s="59" t="str">
        <f t="shared" si="16"/>
        <v>Wave</v>
      </c>
      <c r="C1003" s="32" t="s">
        <v>10</v>
      </c>
      <c r="D1003" s="33"/>
      <c r="E1003" s="33"/>
      <c r="F1003" s="33" t="s">
        <v>51</v>
      </c>
      <c r="G1003" s="36"/>
      <c r="H1003" s="60" t="s">
        <v>1856</v>
      </c>
      <c r="I1003" s="36"/>
      <c r="J1003" s="36" t="s">
        <v>1857</v>
      </c>
      <c r="K1003" s="60" t="str">
        <f t="shared" si="17"/>
        <v>Wave by Sonali Deraniyagala</v>
      </c>
    </row>
    <row r="1004" outlineLevel="1">
      <c r="A1004" s="30"/>
      <c r="B1004" s="59" t="str">
        <f t="shared" si="16"/>
        <v>We All Live Here: A Novel</v>
      </c>
      <c r="C1004" s="32" t="s">
        <v>10</v>
      </c>
      <c r="D1004" s="33"/>
      <c r="E1004" s="33"/>
      <c r="F1004" s="33" t="s">
        <v>51</v>
      </c>
      <c r="G1004" s="36"/>
      <c r="H1004" s="60" t="s">
        <v>1858</v>
      </c>
      <c r="I1004" s="36"/>
      <c r="J1004" s="36" t="s">
        <v>1859</v>
      </c>
      <c r="K1004" s="60" t="str">
        <f t="shared" si="17"/>
        <v>We All Live Here: A Novel by Jenna Coleman, Jojo Moyes</v>
      </c>
    </row>
    <row r="1005" outlineLevel="1">
      <c r="A1005" s="30"/>
      <c r="B1005" s="59" t="str">
        <f t="shared" si="16"/>
        <v>We Are All the Same in the Dark: A Novel</v>
      </c>
      <c r="C1005" s="32" t="s">
        <v>10</v>
      </c>
      <c r="D1005" s="33"/>
      <c r="E1005" s="33"/>
      <c r="F1005" s="33" t="s">
        <v>51</v>
      </c>
      <c r="G1005" s="36"/>
      <c r="H1005" s="60" t="s">
        <v>1860</v>
      </c>
      <c r="I1005" s="36"/>
      <c r="J1005" s="36" t="s">
        <v>1861</v>
      </c>
      <c r="K1005" s="60" t="str">
        <f t="shared" si="17"/>
        <v>We Are All the Same in the Dark: A Novel by Julia Heaberlin</v>
      </c>
    </row>
    <row r="1006" outlineLevel="1">
      <c r="A1006" s="30"/>
      <c r="B1006" s="59" t="str">
        <f t="shared" si="16"/>
        <v>We Are Water: A Novel</v>
      </c>
      <c r="C1006" s="32" t="s">
        <v>10</v>
      </c>
      <c r="D1006" s="33"/>
      <c r="E1006" s="33"/>
      <c r="F1006" s="33" t="s">
        <v>51</v>
      </c>
      <c r="G1006" s="36"/>
      <c r="H1006" s="60" t="s">
        <v>1676</v>
      </c>
      <c r="I1006" s="36"/>
      <c r="J1006" s="36" t="s">
        <v>1862</v>
      </c>
      <c r="K1006" s="60" t="str">
        <f t="shared" si="17"/>
        <v>We Are Water: A Novel by Wally Lamb</v>
      </c>
    </row>
    <row r="1007" outlineLevel="1">
      <c r="A1007" s="30"/>
      <c r="B1007" s="59" t="str">
        <f t="shared" si="16"/>
        <v>We Hunt the Flame (Sands of Arawiya, 1)</v>
      </c>
      <c r="C1007" s="32" t="s">
        <v>10</v>
      </c>
      <c r="D1007" s="33"/>
      <c r="E1007" s="33"/>
      <c r="F1007" s="33" t="s">
        <v>51</v>
      </c>
      <c r="G1007" s="36"/>
      <c r="H1007" s="60" t="s">
        <v>1863</v>
      </c>
      <c r="I1007" s="36"/>
      <c r="J1007" s="36" t="s">
        <v>1864</v>
      </c>
      <c r="K1007" s="60" t="str">
        <f t="shared" si="17"/>
        <v>We Hunt the Flame (Sands of Arawiya, 1) by Hafsah Faizal</v>
      </c>
    </row>
    <row r="1008" outlineLevel="1">
      <c r="A1008" s="30"/>
      <c r="B1008" s="59" t="str">
        <f t="shared" si="16"/>
        <v>We Live in Water: Stories</v>
      </c>
      <c r="C1008" s="32" t="s">
        <v>10</v>
      </c>
      <c r="D1008" s="33"/>
      <c r="E1008" s="33"/>
      <c r="F1008" s="33" t="s">
        <v>51</v>
      </c>
      <c r="G1008" s="36"/>
      <c r="H1008" s="60" t="s">
        <v>451</v>
      </c>
      <c r="I1008" s="36"/>
      <c r="J1008" s="36" t="s">
        <v>1865</v>
      </c>
      <c r="K1008" s="60" t="str">
        <f t="shared" si="17"/>
        <v>We Live in Water: Stories by Jess Walter</v>
      </c>
    </row>
    <row r="1009" outlineLevel="1">
      <c r="A1009" s="30"/>
      <c r="B1009" s="59" t="str">
        <f t="shared" si="16"/>
        <v>We the People: A Progressive Reading of the Constitution for the Twenty-First Century</v>
      </c>
      <c r="C1009" s="32" t="s">
        <v>10</v>
      </c>
      <c r="D1009" s="33"/>
      <c r="E1009" s="33"/>
      <c r="F1009" s="33" t="s">
        <v>51</v>
      </c>
      <c r="G1009" s="36"/>
      <c r="H1009" s="60" t="s">
        <v>1866</v>
      </c>
      <c r="I1009" s="36"/>
      <c r="J1009" s="36" t="s">
        <v>1867</v>
      </c>
      <c r="K1009" s="60" t="str">
        <f t="shared" si="17"/>
        <v>We the People: A Progressive Reading of the Constitution for the Twenty-First Century by Erwin Chemerinsky</v>
      </c>
    </row>
    <row r="1010" outlineLevel="1">
      <c r="A1010" s="30"/>
      <c r="B1010" s="59" t="str">
        <f t="shared" si="16"/>
        <v>We Were the Mulvaneys</v>
      </c>
      <c r="C1010" s="32" t="s">
        <v>10</v>
      </c>
      <c r="D1010" s="33"/>
      <c r="E1010" s="33"/>
      <c r="F1010" s="33" t="s">
        <v>51</v>
      </c>
      <c r="G1010" s="36" t="s">
        <v>373</v>
      </c>
      <c r="H1010" s="60" t="s">
        <v>519</v>
      </c>
      <c r="I1010" s="36"/>
      <c r="J1010" s="36" t="s">
        <v>1868</v>
      </c>
      <c r="K1010" s="60" t="str">
        <f t="shared" si="17"/>
        <v>We Were the Mulvaneys by Joyce Carol Oates</v>
      </c>
    </row>
    <row r="1011" outlineLevel="1">
      <c r="A1011" s="30"/>
      <c r="B1011" s="59" t="str">
        <f t="shared" si="16"/>
        <v>Weapons of Math Destruction: How Big Data Increases Inequality and Threatens Democracy</v>
      </c>
      <c r="C1011" s="32" t="s">
        <v>10</v>
      </c>
      <c r="D1011" s="33"/>
      <c r="E1011" s="33"/>
      <c r="F1011" s="33" t="s">
        <v>51</v>
      </c>
      <c r="G1011" s="36"/>
      <c r="H1011" s="60" t="s">
        <v>1869</v>
      </c>
      <c r="I1011" s="36"/>
      <c r="J1011" s="36" t="s">
        <v>1870</v>
      </c>
      <c r="K1011" s="60" t="str">
        <f t="shared" si="17"/>
        <v>Weapons of Math Destruction: How Big Data Increases Inequality and Threatens Democracy by Cathy O'Neil</v>
      </c>
    </row>
    <row r="1012" outlineLevel="1">
      <c r="A1012" s="30"/>
      <c r="B1012" s="59" t="str">
        <f t="shared" si="16"/>
        <v>West with Giraffes: A Novel</v>
      </c>
      <c r="C1012" s="32" t="s">
        <v>10</v>
      </c>
      <c r="D1012" s="33"/>
      <c r="E1012" s="33"/>
      <c r="F1012" s="33" t="s">
        <v>51</v>
      </c>
      <c r="G1012" s="36"/>
      <c r="H1012" s="60" t="s">
        <v>1871</v>
      </c>
      <c r="I1012" s="36"/>
      <c r="J1012" s="36" t="s">
        <v>1872</v>
      </c>
      <c r="K1012" s="60" t="str">
        <f t="shared" si="17"/>
        <v>West with Giraffes: A Novel by Lynda Rutledge</v>
      </c>
    </row>
    <row r="1013" outlineLevel="1">
      <c r="A1013" s="30"/>
      <c r="B1013" s="59" t="str">
        <f t="shared" si="16"/>
        <v>Westside: A Novel (A Gilda Carr Tiny Mystery)</v>
      </c>
      <c r="C1013" s="32" t="s">
        <v>10</v>
      </c>
      <c r="D1013" s="33"/>
      <c r="E1013" s="33"/>
      <c r="F1013" s="33" t="s">
        <v>51</v>
      </c>
      <c r="G1013" s="36"/>
      <c r="H1013" s="60" t="s">
        <v>1873</v>
      </c>
      <c r="I1013" s="36"/>
      <c r="J1013" s="36" t="s">
        <v>1874</v>
      </c>
      <c r="K1013" s="60" t="str">
        <f t="shared" si="17"/>
        <v>Westside: A Novel (A Gilda Carr Tiny Mystery) by W.M. Akers</v>
      </c>
    </row>
    <row r="1014" outlineLevel="1">
      <c r="A1014" s="30"/>
      <c r="B1014" s="59" t="str">
        <f t="shared" si="16"/>
        <v>What Color Is Your Parachute? for Retirement, Second Edition: Planning a Prosperous, Healthy, and Happy Future (What Color Is Your Parachute? for Retirement: Planning Now for the)</v>
      </c>
      <c r="C1014" s="32" t="s">
        <v>10</v>
      </c>
      <c r="D1014" s="33"/>
      <c r="E1014" s="33"/>
      <c r="F1014" s="33" t="s">
        <v>51</v>
      </c>
      <c r="G1014" s="36"/>
      <c r="H1014" s="60" t="s">
        <v>1875</v>
      </c>
      <c r="I1014" s="36"/>
      <c r="J1014" s="36" t="s">
        <v>1876</v>
      </c>
      <c r="K1014" s="60" t="str">
        <f t="shared" si="17"/>
        <v>What Color Is Your Parachute? for Retirement, Second Edition: Planning a Prosperous, Healthy, and Happy Future (What Color Is Your Parachute? for Retirement: Planning Now for the) by John E. Nelson, Richard N. Bolles</v>
      </c>
    </row>
    <row r="1015" outlineLevel="1">
      <c r="A1015" s="30"/>
      <c r="B1015" s="59" t="str">
        <f t="shared" si="16"/>
        <v>What Do You Do With an Idea? — New York Times best seller</v>
      </c>
      <c r="C1015" s="32" t="s">
        <v>10</v>
      </c>
      <c r="D1015" s="33"/>
      <c r="E1015" s="33"/>
      <c r="F1015" s="33" t="s">
        <v>51</v>
      </c>
      <c r="G1015" s="36"/>
      <c r="H1015" s="60" t="s">
        <v>1877</v>
      </c>
      <c r="I1015" s="36"/>
      <c r="J1015" s="36" t="s">
        <v>1878</v>
      </c>
      <c r="K1015" s="60" t="str">
        <f t="shared" si="17"/>
        <v>What Do You Do With an Idea? — New York Times best seller by Kobi Yamada, Mae Besom</v>
      </c>
    </row>
    <row r="1016" outlineLevel="1">
      <c r="A1016" s="30"/>
      <c r="B1016" s="59" t="str">
        <f t="shared" si="16"/>
        <v>What Happened to You?: Conversations on Trauma, Resilience, and Healing</v>
      </c>
      <c r="C1016" s="32" t="s">
        <v>22</v>
      </c>
      <c r="D1016" s="33"/>
      <c r="E1016" s="33"/>
      <c r="F1016" s="33" t="s">
        <v>51</v>
      </c>
      <c r="G1016" s="36"/>
      <c r="H1016" s="60" t="s">
        <v>1879</v>
      </c>
      <c r="I1016" s="36"/>
      <c r="J1016" s="36" t="s">
        <v>1880</v>
      </c>
      <c r="K1016" s="60" t="str">
        <f t="shared" si="17"/>
        <v>What Happened to You?: Conversations on Trauma, Resilience, and Healing by Oprah Winfrey, Bruce D. Perry</v>
      </c>
    </row>
    <row r="1017" outlineLevel="1">
      <c r="A1017" s="30"/>
      <c r="B1017" s="59" t="str">
        <f t="shared" si="16"/>
        <v>What Have You Changed Your Mind About?: Today's Leading Minds Rethink Everything (Edge Question Series)</v>
      </c>
      <c r="C1017" s="32" t="s">
        <v>10</v>
      </c>
      <c r="D1017" s="33"/>
      <c r="E1017" s="33"/>
      <c r="F1017" s="33" t="s">
        <v>51</v>
      </c>
      <c r="G1017" s="36"/>
      <c r="H1017" s="60" t="s">
        <v>1881</v>
      </c>
      <c r="I1017" s="36"/>
      <c r="J1017" s="36" t="s">
        <v>1882</v>
      </c>
      <c r="K1017" s="60" t="str">
        <f t="shared" si="17"/>
        <v>What Have You Changed Your Mind About?: Today's Leading Minds Rethink Everything (Edge Question Series) by John Brockman</v>
      </c>
    </row>
    <row r="1018" outlineLevel="1">
      <c r="A1018" s="30"/>
      <c r="B1018" s="59" t="str">
        <f t="shared" si="16"/>
        <v>What If?: Serious Scientific Answers to Absurd Hypothetical Questions</v>
      </c>
      <c r="C1018" s="32" t="s">
        <v>22</v>
      </c>
      <c r="D1018" s="33"/>
      <c r="E1018" s="33"/>
      <c r="F1018" s="33" t="s">
        <v>51</v>
      </c>
      <c r="G1018" s="36"/>
      <c r="H1018" s="60" t="s">
        <v>1883</v>
      </c>
      <c r="I1018" s="36"/>
      <c r="J1018" s="36" t="s">
        <v>1884</v>
      </c>
      <c r="K1018" s="60" t="str">
        <f t="shared" si="17"/>
        <v>What If?: Serious Scientific Answers to Absurd Hypothetical Questions by Randall Munroe</v>
      </c>
    </row>
    <row r="1019" outlineLevel="1">
      <c r="A1019" s="30"/>
      <c r="B1019" s="59" t="str">
        <f t="shared" si="16"/>
        <v>What Is ChatGPT Doing ... and Why Does It Work?</v>
      </c>
      <c r="C1019" s="32" t="s">
        <v>22</v>
      </c>
      <c r="D1019" s="33"/>
      <c r="E1019" s="33"/>
      <c r="F1019" s="33" t="s">
        <v>51</v>
      </c>
      <c r="G1019" s="36"/>
      <c r="H1019" s="60" t="s">
        <v>1885</v>
      </c>
      <c r="I1019" s="36"/>
      <c r="J1019" s="36" t="s">
        <v>1886</v>
      </c>
      <c r="K1019" s="60" t="str">
        <f t="shared" si="17"/>
        <v>What Is ChatGPT Doing ... and Why Does It Work? by Stephen Wolfram</v>
      </c>
    </row>
    <row r="1020" outlineLevel="1">
      <c r="A1020" s="30"/>
      <c r="B1020" s="59" t="str">
        <f t="shared" si="16"/>
        <v>What Looks Like Bravery: An Epic Journey Through Loss to Love</v>
      </c>
      <c r="C1020" s="32" t="s">
        <v>22</v>
      </c>
      <c r="D1020" s="33"/>
      <c r="E1020" s="33"/>
      <c r="F1020" s="33" t="s">
        <v>51</v>
      </c>
      <c r="G1020" s="36"/>
      <c r="H1020" s="60" t="s">
        <v>1887</v>
      </c>
      <c r="I1020" s="36"/>
      <c r="J1020" s="36" t="s">
        <v>1888</v>
      </c>
      <c r="K1020" s="60" t="str">
        <f t="shared" si="17"/>
        <v>What Looks Like Bravery: An Epic Journey Through Loss to Love by Laurel Braitman</v>
      </c>
    </row>
    <row r="1021" outlineLevel="1">
      <c r="A1021" s="30"/>
      <c r="B1021" s="59" t="str">
        <f t="shared" si="16"/>
        <v>What She Knew: A Novel</v>
      </c>
      <c r="C1021" s="32" t="s">
        <v>10</v>
      </c>
      <c r="D1021" s="33"/>
      <c r="E1021" s="33"/>
      <c r="F1021" s="33" t="s">
        <v>51</v>
      </c>
      <c r="G1021" s="36"/>
      <c r="H1021" s="60" t="s">
        <v>1889</v>
      </c>
      <c r="I1021" s="36"/>
      <c r="J1021" s="36" t="s">
        <v>1890</v>
      </c>
      <c r="K1021" s="60" t="str">
        <f t="shared" si="17"/>
        <v>What She Knew: A Novel by Gilly Macmillan</v>
      </c>
    </row>
    <row r="1022" outlineLevel="1">
      <c r="A1022" s="30"/>
      <c r="B1022" s="59" t="str">
        <f t="shared" si="16"/>
        <v>What the Qur'an Meant: And Why It Matters</v>
      </c>
      <c r="C1022" s="32" t="s">
        <v>10</v>
      </c>
      <c r="D1022" s="33"/>
      <c r="E1022" s="33"/>
      <c r="F1022" s="33" t="s">
        <v>51</v>
      </c>
      <c r="G1022" s="36"/>
      <c r="H1022" s="60" t="s">
        <v>1891</v>
      </c>
      <c r="I1022" s="36"/>
      <c r="J1022" s="36" t="s">
        <v>1892</v>
      </c>
      <c r="K1022" s="60" t="str">
        <f t="shared" si="17"/>
        <v>What the Qur'an Meant: And Why It Matters by Garry Wills</v>
      </c>
    </row>
    <row r="1023" outlineLevel="1">
      <c r="A1023" s="30"/>
      <c r="B1023" s="59" t="str">
        <f t="shared" si="16"/>
        <v>What's So Funny?: My Hilarious Life</v>
      </c>
      <c r="C1023" s="32" t="s">
        <v>10</v>
      </c>
      <c r="D1023" s="33"/>
      <c r="E1023" s="33"/>
      <c r="F1023" s="33" t="s">
        <v>51</v>
      </c>
      <c r="G1023" s="36"/>
      <c r="H1023" s="60" t="s">
        <v>1893</v>
      </c>
      <c r="I1023" s="36"/>
      <c r="J1023" s="36" t="s">
        <v>1894</v>
      </c>
      <c r="K1023" s="60" t="str">
        <f t="shared" si="17"/>
        <v>What's So Funny?: My Hilarious Life by Tim Conway, Jane Scovell</v>
      </c>
    </row>
    <row r="1024" outlineLevel="1">
      <c r="A1024" s="30"/>
      <c r="B1024" s="59" t="str">
        <f t="shared" si="16"/>
        <v>When Breath Becomes Air</v>
      </c>
      <c r="C1024" s="32" t="s">
        <v>10</v>
      </c>
      <c r="D1024" s="33"/>
      <c r="E1024" s="33"/>
      <c r="F1024" s="33" t="s">
        <v>51</v>
      </c>
      <c r="G1024" s="36" t="s">
        <v>305</v>
      </c>
      <c r="H1024" s="60" t="s">
        <v>1895</v>
      </c>
      <c r="I1024" s="36"/>
      <c r="J1024" s="36" t="s">
        <v>1896</v>
      </c>
      <c r="K1024" s="60" t="str">
        <f t="shared" si="17"/>
        <v>When Breath Becomes Air by Paul Kalanithi, Abraham Verghese</v>
      </c>
    </row>
    <row r="1025" outlineLevel="1">
      <c r="A1025" s="30"/>
      <c r="B1025" s="59" t="str">
        <f t="shared" si="16"/>
        <v>When I Found You</v>
      </c>
      <c r="C1025" s="32" t="s">
        <v>10</v>
      </c>
      <c r="D1025" s="33"/>
      <c r="E1025" s="33"/>
      <c r="F1025" s="33" t="s">
        <v>51</v>
      </c>
      <c r="G1025" s="36"/>
      <c r="H1025" s="60" t="s">
        <v>1262</v>
      </c>
      <c r="I1025" s="36"/>
      <c r="J1025" s="36" t="s">
        <v>1897</v>
      </c>
      <c r="K1025" s="60" t="str">
        <f t="shared" si="17"/>
        <v>When I Found You by Catherine Ryan Hyde</v>
      </c>
    </row>
    <row r="1026" outlineLevel="1">
      <c r="A1026" s="30"/>
      <c r="B1026" s="59" t="str">
        <f t="shared" si="16"/>
        <v>When I Say No, I Feel Guilty</v>
      </c>
      <c r="C1026" s="32" t="s">
        <v>10</v>
      </c>
      <c r="D1026" s="33"/>
      <c r="E1026" s="33"/>
      <c r="F1026" s="33" t="s">
        <v>51</v>
      </c>
      <c r="G1026" s="36"/>
      <c r="H1026" s="60" t="s">
        <v>1898</v>
      </c>
      <c r="I1026" s="36"/>
      <c r="J1026" s="36" t="s">
        <v>1899</v>
      </c>
      <c r="K1026" s="60" t="str">
        <f t="shared" si="17"/>
        <v>When I Say No, I Feel Guilty by Manuel J. Smith</v>
      </c>
    </row>
    <row r="1027" outlineLevel="1">
      <c r="A1027" s="30"/>
      <c r="B1027" s="59" t="str">
        <f t="shared" si="16"/>
        <v>When Titans Clashed: How the Red Army Stopped Hitler (Modern War Studies)</v>
      </c>
      <c r="C1027" s="32" t="s">
        <v>10</v>
      </c>
      <c r="D1027" s="33"/>
      <c r="E1027" s="33"/>
      <c r="F1027" s="33" t="s">
        <v>51</v>
      </c>
      <c r="G1027" s="36"/>
      <c r="H1027" s="60" t="s">
        <v>1900</v>
      </c>
      <c r="I1027" s="36"/>
      <c r="J1027" s="36" t="s">
        <v>1901</v>
      </c>
      <c r="K1027" s="60" t="str">
        <f t="shared" si="17"/>
        <v>When Titans Clashed: How the Red Army Stopped Hitler (Modern War Studies) by David M. Glantz, Jonathan M. House</v>
      </c>
    </row>
    <row r="1028" outlineLevel="1">
      <c r="A1028" s="30"/>
      <c r="B1028" s="59" t="str">
        <f t="shared" si="16"/>
        <v>When We Cease to Understand the World</v>
      </c>
      <c r="C1028" s="32" t="s">
        <v>10</v>
      </c>
      <c r="D1028" s="33"/>
      <c r="E1028" s="33"/>
      <c r="F1028" s="33" t="s">
        <v>51</v>
      </c>
      <c r="G1028" s="36"/>
      <c r="H1028" s="60" t="s">
        <v>1902</v>
      </c>
      <c r="I1028" s="36"/>
      <c r="J1028" s="36" t="s">
        <v>1903</v>
      </c>
      <c r="K1028" s="60" t="str">
        <f t="shared" si="17"/>
        <v>When We Cease to Understand the World by Benjamín Labatut, Adrian Nathan West</v>
      </c>
    </row>
    <row r="1029" outlineLevel="1">
      <c r="A1029" s="30"/>
      <c r="B1029" s="59" t="str">
        <f t="shared" si="16"/>
        <v>Where the Lost Wander: A Novel</v>
      </c>
      <c r="C1029" s="32" t="s">
        <v>10</v>
      </c>
      <c r="D1029" s="33"/>
      <c r="E1029" s="33"/>
      <c r="F1029" s="33" t="s">
        <v>51</v>
      </c>
      <c r="G1029" s="36"/>
      <c r="H1029" s="60" t="s">
        <v>1904</v>
      </c>
      <c r="I1029" s="36"/>
      <c r="J1029" s="36" t="s">
        <v>1905</v>
      </c>
      <c r="K1029" s="60" t="str">
        <f t="shared" si="17"/>
        <v>Where the Lost Wander: A Novel by Amy Harmon</v>
      </c>
    </row>
    <row r="1030" outlineLevel="1">
      <c r="A1030" s="30"/>
      <c r="B1030" s="59" t="str">
        <f t="shared" si="16"/>
        <v>Where Wizards Stay Up Late: The Origins Of The Internet</v>
      </c>
      <c r="C1030" s="32" t="s">
        <v>10</v>
      </c>
      <c r="D1030" s="33"/>
      <c r="E1030" s="33"/>
      <c r="F1030" s="33" t="s">
        <v>51</v>
      </c>
      <c r="G1030" s="36"/>
      <c r="H1030" s="60" t="s">
        <v>1906</v>
      </c>
      <c r="I1030" s="36"/>
      <c r="J1030" s="36" t="s">
        <v>1907</v>
      </c>
      <c r="K1030" s="60" t="str">
        <f t="shared" si="17"/>
        <v>Where Wizards Stay Up Late: The Origins Of The Internet by Katie Hafner</v>
      </c>
    </row>
    <row r="1031" outlineLevel="1">
      <c r="A1031" s="30"/>
      <c r="B1031" s="59" t="str">
        <f t="shared" si="16"/>
        <v>Where You Are Is Not Who You Are: A Memoir</v>
      </c>
      <c r="C1031" s="32" t="s">
        <v>10</v>
      </c>
      <c r="D1031" s="33"/>
      <c r="E1031" s="33"/>
      <c r="F1031" s="33" t="s">
        <v>51</v>
      </c>
      <c r="G1031" s="36"/>
      <c r="H1031" s="60" t="s">
        <v>1908</v>
      </c>
      <c r="I1031" s="36"/>
      <c r="J1031" s="36" t="s">
        <v>1909</v>
      </c>
      <c r="K1031" s="60" t="str">
        <f t="shared" si="17"/>
        <v>Where You Are Is Not Who You Are: A Memoir by Ursula Burns</v>
      </c>
    </row>
    <row r="1032" outlineLevel="1">
      <c r="A1032" s="30"/>
      <c r="B1032" s="59" t="str">
        <f t="shared" si="16"/>
        <v>White Tiger (A Shifters Unbound Novel Book 8)</v>
      </c>
      <c r="C1032" s="32" t="s">
        <v>10</v>
      </c>
      <c r="D1032" s="33"/>
      <c r="E1032" s="33"/>
      <c r="F1032" s="33" t="s">
        <v>51</v>
      </c>
      <c r="G1032" s="36"/>
      <c r="H1032" s="60" t="s">
        <v>1910</v>
      </c>
      <c r="I1032" s="36"/>
      <c r="J1032" s="36" t="s">
        <v>1911</v>
      </c>
      <c r="K1032" s="60" t="str">
        <f t="shared" si="17"/>
        <v>White Tiger (A Shifters Unbound Novel Book 8) by Jennifer Ashley</v>
      </c>
    </row>
    <row r="1033" outlineLevel="1">
      <c r="A1033" s="30"/>
      <c r="B1033" s="59" t="str">
        <f t="shared" si="16"/>
        <v>White Tiger: The First Dark Heavens Urban Fantasy – Chinese Gods, Kung Fu, and Paranormal Romance Collide (Dark Heavens Trilogy Book 1)</v>
      </c>
      <c r="C1033" s="32" t="s">
        <v>10</v>
      </c>
      <c r="D1033" s="33"/>
      <c r="E1033" s="33"/>
      <c r="F1033" s="33" t="s">
        <v>51</v>
      </c>
      <c r="G1033" s="36"/>
      <c r="H1033" s="60" t="s">
        <v>1912</v>
      </c>
      <c r="I1033" s="36"/>
      <c r="J1033" s="36" t="s">
        <v>1913</v>
      </c>
      <c r="K1033" s="60" t="str">
        <f t="shared" si="17"/>
        <v>White Tiger: The First Dark Heavens Urban Fantasy – Chinese Gods, Kung Fu, and Paranormal Romance Collide (Dark Heavens Trilogy Book 1) by Kylie Chan</v>
      </c>
    </row>
    <row r="1034" outlineLevel="1">
      <c r="A1034" s="30"/>
      <c r="B1034" s="59" t="str">
        <f t="shared" si="16"/>
        <v>Who Owns the Future?</v>
      </c>
      <c r="C1034" s="32" t="s">
        <v>10</v>
      </c>
      <c r="D1034" s="33"/>
      <c r="E1034" s="33"/>
      <c r="F1034" s="33" t="s">
        <v>51</v>
      </c>
      <c r="G1034" s="36"/>
      <c r="H1034" s="60" t="s">
        <v>1914</v>
      </c>
      <c r="I1034" s="36"/>
      <c r="J1034" s="36" t="s">
        <v>1915</v>
      </c>
      <c r="K1034" s="60" t="str">
        <f t="shared" si="17"/>
        <v>Who Owns the Future? by Jaron Lanier</v>
      </c>
    </row>
    <row r="1035" outlineLevel="1">
      <c r="A1035" s="30"/>
      <c r="B1035" s="59" t="str">
        <f t="shared" si="16"/>
        <v>Whose Story Is This?: Old Conflicts, New Chapters</v>
      </c>
      <c r="C1035" s="32" t="s">
        <v>10</v>
      </c>
      <c r="D1035" s="33"/>
      <c r="E1035" s="33"/>
      <c r="F1035" s="33" t="s">
        <v>51</v>
      </c>
      <c r="G1035" s="36"/>
      <c r="H1035" s="60" t="s">
        <v>1916</v>
      </c>
      <c r="I1035" s="36"/>
      <c r="J1035" s="36" t="s">
        <v>1917</v>
      </c>
      <c r="K1035" s="60" t="str">
        <f t="shared" si="17"/>
        <v>Whose Story Is This?: Old Conflicts, New Chapters by Rebecca Solnit</v>
      </c>
    </row>
    <row r="1036" outlineLevel="1">
      <c r="A1036" s="30"/>
      <c r="B1036" s="59" t="str">
        <f t="shared" si="16"/>
        <v>Why Fish Don't Exist: A Story of Loss, Love, and the Hidden Order of Life</v>
      </c>
      <c r="C1036" s="32" t="s">
        <v>10</v>
      </c>
      <c r="D1036" s="33"/>
      <c r="E1036" s="33"/>
      <c r="F1036" s="33" t="s">
        <v>51</v>
      </c>
      <c r="G1036" s="36"/>
      <c r="H1036" s="60" t="s">
        <v>1918</v>
      </c>
      <c r="I1036" s="36"/>
      <c r="J1036" s="36" t="s">
        <v>1919</v>
      </c>
      <c r="K1036" s="60" t="str">
        <f t="shared" si="17"/>
        <v>Why Fish Don't Exist: A Story of Loss, Love, and the Hidden Order of Life by Lulu Miller</v>
      </c>
    </row>
    <row r="1037" outlineLevel="1">
      <c r="A1037" s="30"/>
      <c r="B1037" s="59" t="str">
        <f t="shared" si="16"/>
        <v>Why the West Rules - for Now: The Patterns of History, and What They Reveal About the Future</v>
      </c>
      <c r="C1037" s="32" t="s">
        <v>22</v>
      </c>
      <c r="D1037" s="33"/>
      <c r="E1037" s="33"/>
      <c r="F1037" s="33" t="s">
        <v>51</v>
      </c>
      <c r="G1037" s="36"/>
      <c r="H1037" s="60" t="s">
        <v>1920</v>
      </c>
      <c r="I1037" s="36"/>
      <c r="J1037" s="36" t="s">
        <v>1921</v>
      </c>
      <c r="K1037" s="60" t="str">
        <f t="shared" si="17"/>
        <v>Why the West Rules - for Now: The Patterns of History, and What They Reveal About the Future by Ian Morris, Antony Ferguson</v>
      </c>
    </row>
    <row r="1038" outlineLevel="1">
      <c r="A1038" s="30"/>
      <c r="B1038" s="59" t="str">
        <f t="shared" si="16"/>
        <v>Why We Remember: Unlocking Memory's Power to Hold on to What Matters</v>
      </c>
      <c r="C1038" s="32" t="s">
        <v>22</v>
      </c>
      <c r="D1038" s="33"/>
      <c r="E1038" s="33"/>
      <c r="F1038" s="33" t="s">
        <v>51</v>
      </c>
      <c r="G1038" s="36"/>
      <c r="H1038" s="60" t="s">
        <v>1922</v>
      </c>
      <c r="I1038" s="36"/>
      <c r="J1038" s="36" t="s">
        <v>1923</v>
      </c>
      <c r="K1038" s="60" t="str">
        <f t="shared" si="17"/>
        <v>Why We Remember: Unlocking Memory's Power to Hold on to What Matters by Charan Ranganath PhD</v>
      </c>
    </row>
    <row r="1039" outlineLevel="1">
      <c r="A1039" s="30"/>
      <c r="B1039" s="59" t="str">
        <f t="shared" si="16"/>
        <v>Why Zebras Don't Get Ulcers, Third Edition</v>
      </c>
      <c r="C1039" s="32" t="s">
        <v>10</v>
      </c>
      <c r="D1039" s="33"/>
      <c r="E1039" s="33"/>
      <c r="F1039" s="33" t="s">
        <v>51</v>
      </c>
      <c r="G1039" s="36"/>
      <c r="H1039" s="60" t="s">
        <v>1924</v>
      </c>
      <c r="I1039" s="36"/>
      <c r="J1039" s="36" t="s">
        <v>1925</v>
      </c>
      <c r="K1039" s="60" t="str">
        <f t="shared" si="17"/>
        <v>Why Zebras Don't Get Ulcers, Third Edition by Robert M. Sapolsky</v>
      </c>
    </row>
    <row r="1040" outlineLevel="1">
      <c r="A1040" s="30"/>
      <c r="B1040" s="59" t="str">
        <f t="shared" si="16"/>
        <v>Wisdom 2.0: The New Movement Toward Purposeful Engagement in Business and in Life</v>
      </c>
      <c r="C1040" s="32" t="s">
        <v>22</v>
      </c>
      <c r="D1040" s="33"/>
      <c r="E1040" s="33"/>
      <c r="F1040" s="33" t="s">
        <v>51</v>
      </c>
      <c r="G1040" s="36"/>
      <c r="H1040" s="60" t="s">
        <v>1926</v>
      </c>
      <c r="I1040" s="36"/>
      <c r="J1040" s="36" t="s">
        <v>1927</v>
      </c>
      <c r="K1040" s="60" t="str">
        <f t="shared" si="17"/>
        <v>Wisdom 2.0: The New Movement Toward Purposeful Engagement in Business and in Life by Soren Gordhamer</v>
      </c>
    </row>
    <row r="1041" outlineLevel="1">
      <c r="A1041" s="30"/>
      <c r="B1041" s="59" t="str">
        <f t="shared" si="16"/>
        <v>Witch King</v>
      </c>
      <c r="C1041" s="32" t="s">
        <v>10</v>
      </c>
      <c r="D1041" s="33"/>
      <c r="E1041" s="33"/>
      <c r="F1041" s="33" t="s">
        <v>51</v>
      </c>
      <c r="G1041" s="36" t="s">
        <v>1928</v>
      </c>
      <c r="H1041" s="60" t="s">
        <v>1929</v>
      </c>
      <c r="I1041" s="36"/>
      <c r="J1041" s="36" t="s">
        <v>1930</v>
      </c>
      <c r="K1041" s="60" t="str">
        <f t="shared" si="17"/>
        <v>Witch King by Martha Wells</v>
      </c>
    </row>
    <row r="1042" outlineLevel="1">
      <c r="A1042" s="30"/>
      <c r="B1042" s="59" t="str">
        <f t="shared" si="16"/>
        <v>Without a Map: A Memoir</v>
      </c>
      <c r="C1042" s="32" t="s">
        <v>22</v>
      </c>
      <c r="D1042" s="33"/>
      <c r="E1042" s="33"/>
      <c r="F1042" s="33" t="s">
        <v>51</v>
      </c>
      <c r="G1042" s="36"/>
      <c r="H1042" s="60" t="s">
        <v>1931</v>
      </c>
      <c r="I1042" s="36"/>
      <c r="J1042" s="36" t="s">
        <v>1932</v>
      </c>
      <c r="K1042" s="60" t="str">
        <f t="shared" si="17"/>
        <v>Without a Map: A Memoir by Meredith Hall</v>
      </c>
    </row>
    <row r="1043" outlineLevel="1">
      <c r="A1043" s="30"/>
      <c r="B1043" s="59" t="str">
        <f t="shared" si="16"/>
        <v>Woman, Captain, Rebel: The Extraordinary True Story of a Daring Icelandic Sea Captain</v>
      </c>
      <c r="C1043" s="32" t="s">
        <v>22</v>
      </c>
      <c r="D1043" s="33"/>
      <c r="E1043" s="33"/>
      <c r="F1043" s="33" t="s">
        <v>51</v>
      </c>
      <c r="G1043" s="36"/>
      <c r="H1043" s="60" t="s">
        <v>1933</v>
      </c>
      <c r="I1043" s="36"/>
      <c r="J1043" s="36" t="s">
        <v>1934</v>
      </c>
      <c r="K1043" s="60" t="str">
        <f t="shared" si="17"/>
        <v>Woman, Captain, Rebel: The Extraordinary True Story of a Daring Icelandic Sea Captain by Margaret Willson</v>
      </c>
    </row>
    <row r="1044" outlineLevel="1">
      <c r="A1044" s="30"/>
      <c r="B1044" s="59" t="str">
        <f t="shared" si="16"/>
        <v>Words and Rules: The Ingredients Of Language</v>
      </c>
      <c r="C1044" s="32" t="s">
        <v>22</v>
      </c>
      <c r="D1044" s="33"/>
      <c r="E1044" s="33"/>
      <c r="F1044" s="33" t="s">
        <v>51</v>
      </c>
      <c r="G1044" s="36"/>
      <c r="H1044" s="60" t="s">
        <v>670</v>
      </c>
      <c r="I1044" s="36"/>
      <c r="J1044" s="36" t="s">
        <v>1935</v>
      </c>
      <c r="K1044" s="60" t="str">
        <f t="shared" si="17"/>
        <v>Words and Rules: The Ingredients Of Language by Steven Pinker</v>
      </c>
    </row>
    <row r="1045" outlineLevel="1">
      <c r="A1045" s="30"/>
      <c r="B1045" s="59" t="str">
        <f t="shared" si="16"/>
        <v>World War Z: An Oral History of the Zombie War</v>
      </c>
      <c r="C1045" s="32" t="s">
        <v>10</v>
      </c>
      <c r="D1045" s="33"/>
      <c r="E1045" s="33"/>
      <c r="F1045" s="33" t="s">
        <v>51</v>
      </c>
      <c r="G1045" s="36"/>
      <c r="H1045" s="60" t="s">
        <v>1936</v>
      </c>
      <c r="I1045" s="36"/>
      <c r="J1045" s="36" t="s">
        <v>1937</v>
      </c>
      <c r="K1045" s="60" t="str">
        <f t="shared" si="17"/>
        <v>World War Z: An Oral History of the Zombie War by Max Brooks</v>
      </c>
    </row>
    <row r="1046" outlineLevel="1">
      <c r="A1046" s="30"/>
      <c r="B1046" s="59" t="str">
        <f t="shared" si="16"/>
        <v>Write It Off! Deduct It!</v>
      </c>
      <c r="C1046" s="32" t="s">
        <v>10</v>
      </c>
      <c r="D1046" s="33"/>
      <c r="E1046" s="33"/>
      <c r="F1046" s="33" t="s">
        <v>51</v>
      </c>
      <c r="G1046" s="36"/>
      <c r="H1046" s="60" t="s">
        <v>1938</v>
      </c>
      <c r="I1046" s="36"/>
      <c r="J1046" s="36" t="s">
        <v>1939</v>
      </c>
      <c r="K1046" s="60" t="str">
        <f t="shared" si="17"/>
        <v>Write It Off! Deduct It! by Bernard Kamoroff</v>
      </c>
    </row>
    <row r="1047" outlineLevel="1">
      <c r="A1047" s="30"/>
      <c r="B1047" s="59" t="str">
        <f t="shared" si="16"/>
        <v>Yellowface: A Novel</v>
      </c>
      <c r="C1047" s="32" t="s">
        <v>10</v>
      </c>
      <c r="D1047" s="33"/>
      <c r="E1047" s="33"/>
      <c r="F1047" s="33" t="s">
        <v>51</v>
      </c>
      <c r="G1047" s="36"/>
      <c r="H1047" s="60" t="s">
        <v>443</v>
      </c>
      <c r="I1047" s="36"/>
      <c r="J1047" s="36" t="s">
        <v>1940</v>
      </c>
      <c r="K1047" s="60" t="str">
        <f t="shared" si="17"/>
        <v>Yellowface: A Novel by R. F. Kuang</v>
      </c>
    </row>
    <row r="1048" outlineLevel="1">
      <c r="A1048" s="30"/>
      <c r="B1048" s="59" t="str">
        <f t="shared" si="16"/>
        <v>You Are Not a Gadget</v>
      </c>
      <c r="C1048" s="32" t="s">
        <v>10</v>
      </c>
      <c r="D1048" s="33"/>
      <c r="E1048" s="33"/>
      <c r="F1048" s="33" t="s">
        <v>51</v>
      </c>
      <c r="G1048" s="36"/>
      <c r="H1048" s="60" t="s">
        <v>1914</v>
      </c>
      <c r="I1048" s="36"/>
      <c r="J1048" s="36" t="s">
        <v>1941</v>
      </c>
      <c r="K1048" s="60" t="str">
        <f t="shared" si="17"/>
        <v>You Are Not a Gadget by Jaron Lanier</v>
      </c>
    </row>
    <row r="1049" outlineLevel="1">
      <c r="A1049" s="30"/>
      <c r="B1049" s="59" t="str">
        <f t="shared" si="16"/>
        <v>You Have to Be Prepared to Die Before You Can Begin to Live: Ten Weeks in Birmingham That Changed America</v>
      </c>
      <c r="C1049" s="32" t="s">
        <v>22</v>
      </c>
      <c r="D1049" s="33"/>
      <c r="E1049" s="33"/>
      <c r="F1049" s="33" t="s">
        <v>51</v>
      </c>
      <c r="G1049" s="36"/>
      <c r="H1049" s="60" t="s">
        <v>1942</v>
      </c>
      <c r="I1049" s="36"/>
      <c r="J1049" s="36" t="s">
        <v>1943</v>
      </c>
      <c r="K1049" s="60" t="str">
        <f t="shared" si="17"/>
        <v>You Have to Be Prepared to Die Before You Can Begin to Live: Ten Weeks in Birmingham That Changed America by Paul Kix</v>
      </c>
    </row>
    <row r="1050" outlineLevel="1">
      <c r="A1050" s="30"/>
      <c r="B1050" s="59" t="str">
        <f t="shared" si="16"/>
        <v>Yugoslavia: Death of a Nation</v>
      </c>
      <c r="C1050" s="32" t="s">
        <v>10</v>
      </c>
      <c r="D1050" s="33"/>
      <c r="E1050" s="33"/>
      <c r="F1050" s="33" t="s">
        <v>51</v>
      </c>
      <c r="G1050" s="36"/>
      <c r="H1050" s="60" t="s">
        <v>1944</v>
      </c>
      <c r="I1050" s="36"/>
      <c r="J1050" s="36" t="s">
        <v>1945</v>
      </c>
      <c r="K1050" s="60" t="str">
        <f t="shared" si="17"/>
        <v>Yugoslavia: Death of a Nation by Laura Silber, Allan Little</v>
      </c>
    </row>
    <row r="1051" outlineLevel="1">
      <c r="A1051" s="30"/>
      <c r="B1051" s="59" t="str">
        <f t="shared" si="16"/>
        <v>Zealot: The Life and Times of Jesus of Nazareth</v>
      </c>
      <c r="C1051" s="32" t="s">
        <v>22</v>
      </c>
      <c r="D1051" s="33"/>
      <c r="E1051" s="33"/>
      <c r="F1051" s="33" t="s">
        <v>51</v>
      </c>
      <c r="G1051" s="36"/>
      <c r="H1051" s="60" t="s">
        <v>1946</v>
      </c>
      <c r="I1051" s="36"/>
      <c r="J1051" s="36" t="s">
        <v>1947</v>
      </c>
      <c r="K1051" s="60" t="str">
        <f t="shared" si="17"/>
        <v>Zealot: The Life and Times of Jesus of Nazareth by Reza Aslan</v>
      </c>
    </row>
    <row r="1052" outlineLevel="1">
      <c r="A1052" s="30"/>
      <c r="B1052" s="59" t="str">
        <f t="shared" si="16"/>
        <v>Zeitoun</v>
      </c>
      <c r="C1052" s="32" t="s">
        <v>10</v>
      </c>
      <c r="D1052" s="33"/>
      <c r="E1052" s="33"/>
      <c r="F1052" s="33" t="s">
        <v>51</v>
      </c>
      <c r="G1052" s="36"/>
      <c r="H1052" s="60" t="s">
        <v>306</v>
      </c>
      <c r="I1052" s="36"/>
      <c r="J1052" s="36" t="s">
        <v>1948</v>
      </c>
      <c r="K1052" s="60" t="str">
        <f t="shared" si="17"/>
        <v>Zeitoun by Dave Eggers</v>
      </c>
    </row>
  </sheetData>
  <autoFilter ref="$B$1:$K$1052">
    <sortState ref="B1:K1052">
      <sortCondition ref="D1:D1052"/>
    </sortState>
  </autoFilter>
  <hyperlinks>
    <hyperlink r:id="rId2" ref="B1"/>
    <hyperlink r:id="rId3" ref="B7"/>
    <hyperlink r:id="rId4" ref="B8"/>
    <hyperlink r:id="rId5" ref="B9"/>
    <hyperlink r:id="rId6" ref="B11"/>
    <hyperlink r:id="rId7" ref="B14"/>
    <hyperlink r:id="rId8" ref="B15"/>
    <hyperlink r:id="rId9" ref="B17"/>
    <hyperlink r:id="rId10" ref="B21"/>
    <hyperlink r:id="rId11" ref="B22"/>
    <hyperlink r:id="rId12" ref="B23"/>
    <hyperlink r:id="rId13" ref="B24"/>
    <hyperlink r:id="rId14" ref="B25"/>
    <hyperlink r:id="rId15" ref="B26"/>
    <hyperlink r:id="rId16" ref="B27"/>
    <hyperlink r:id="rId17" ref="B28"/>
    <hyperlink r:id="rId18" ref="B29"/>
    <hyperlink r:id="rId19" ref="B35"/>
    <hyperlink r:id="rId20" ref="B36"/>
    <hyperlink r:id="rId21" ref="B37"/>
    <hyperlink r:id="rId22" ref="B38"/>
    <hyperlink r:id="rId23" ref="B39"/>
    <hyperlink r:id="rId24" ref="B40"/>
    <hyperlink r:id="rId25" ref="B41"/>
    <hyperlink r:id="rId26" ref="B43"/>
    <hyperlink r:id="rId27" ref="B44"/>
    <hyperlink r:id="rId28" ref="B47"/>
    <hyperlink r:id="rId29" ref="B48"/>
    <hyperlink r:id="rId30" ref="B49"/>
    <hyperlink r:id="rId31" ref="B50"/>
    <hyperlink r:id="rId32" ref="B52"/>
    <hyperlink r:id="rId33" ref="B53"/>
    <hyperlink r:id="rId34" ref="G54"/>
    <hyperlink r:id="rId35" ref="G55"/>
    <hyperlink r:id="rId36" ref="G56"/>
    <hyperlink r:id="rId37" ref="G57"/>
    <hyperlink r:id="rId38" ref="G58"/>
    <hyperlink r:id="rId39" ref="G59"/>
    <hyperlink r:id="rId40" ref="G60"/>
    <hyperlink r:id="rId41" ref="G61"/>
    <hyperlink r:id="rId42" ref="G62"/>
    <hyperlink r:id="rId43" ref="G63"/>
    <hyperlink r:id="rId44" ref="G64"/>
    <hyperlink r:id="rId45" ref="B65"/>
    <hyperlink r:id="rId46" ref="G65"/>
    <hyperlink r:id="rId47" ref="G66"/>
    <hyperlink r:id="rId48" ref="G67"/>
    <hyperlink r:id="rId49" ref="G68"/>
    <hyperlink r:id="rId50" ref="G69"/>
    <hyperlink r:id="rId51" ref="G70"/>
    <hyperlink r:id="rId52" ref="G71"/>
    <hyperlink r:id="rId53" ref="B73"/>
    <hyperlink r:id="rId54" ref="B74"/>
    <hyperlink r:id="rId55" ref="B75"/>
    <hyperlink r:id="rId56" ref="B76"/>
    <hyperlink r:id="rId57" ref="B77"/>
    <hyperlink r:id="rId58" ref="B78"/>
    <hyperlink r:id="rId59" ref="B79"/>
    <hyperlink r:id="rId60" ref="B80"/>
    <hyperlink r:id="rId61" ref="B82"/>
    <hyperlink r:id="rId62" ref="B83"/>
    <hyperlink r:id="rId63" ref="B84"/>
    <hyperlink r:id="rId64" ref="B85"/>
    <hyperlink r:id="rId65" ref="B86"/>
    <hyperlink r:id="rId66" ref="B87"/>
    <hyperlink r:id="rId67" ref="B88"/>
    <hyperlink r:id="rId68" ref="B89"/>
    <hyperlink r:id="rId69" ref="B90"/>
    <hyperlink r:id="rId70" ref="B91"/>
    <hyperlink r:id="rId71" ref="B92"/>
    <hyperlink r:id="rId72" ref="B93"/>
    <hyperlink r:id="rId73" ref="B94"/>
    <hyperlink r:id="rId74" ref="B95"/>
    <hyperlink r:id="rId75" ref="B96"/>
    <hyperlink r:id="rId76" ref="B97"/>
    <hyperlink r:id="rId77" ref="B98"/>
    <hyperlink r:id="rId78" ref="G99"/>
    <hyperlink r:id="rId79" ref="G100"/>
    <hyperlink r:id="rId80" ref="G101"/>
    <hyperlink r:id="rId81" ref="G102"/>
    <hyperlink r:id="rId82" ref="G104"/>
    <hyperlink r:id="rId83" ref="G105"/>
    <hyperlink r:id="rId84" ref="B108"/>
    <hyperlink r:id="rId85" ref="B109"/>
    <hyperlink r:id="rId86" ref="B110"/>
    <hyperlink r:id="rId87" ref="B111"/>
    <hyperlink r:id="rId88" ref="B112"/>
    <hyperlink r:id="rId89" ref="B113"/>
    <hyperlink r:id="rId90" ref="B114"/>
    <hyperlink r:id="rId91" ref="B115"/>
    <hyperlink r:id="rId92" ref="B116"/>
    <hyperlink r:id="rId93" ref="B117"/>
    <hyperlink r:id="rId94" ref="B118"/>
    <hyperlink r:id="rId95" ref="B119"/>
    <hyperlink r:id="rId96" ref="B120"/>
    <hyperlink r:id="rId97" ref="B121"/>
    <hyperlink r:id="rId98" ref="B122"/>
    <hyperlink r:id="rId99" ref="B123"/>
    <hyperlink r:id="rId100" ref="B124"/>
    <hyperlink r:id="rId101" ref="B125"/>
    <hyperlink r:id="rId102" ref="B126"/>
    <hyperlink r:id="rId103" ref="B127"/>
    <hyperlink r:id="rId104" ref="B128"/>
    <hyperlink r:id="rId105" ref="B129"/>
    <hyperlink r:id="rId106" ref="B130"/>
    <hyperlink r:id="rId107" ref="B131"/>
    <hyperlink r:id="rId108" ref="B132"/>
    <hyperlink r:id="rId109" ref="G137"/>
    <hyperlink r:id="rId110" ref="B139"/>
    <hyperlink r:id="rId111" ref="B140"/>
    <hyperlink r:id="rId112" ref="B141"/>
    <hyperlink r:id="rId113" ref="B142"/>
    <hyperlink r:id="rId114" ref="B143"/>
    <hyperlink r:id="rId115" ref="B144"/>
    <hyperlink r:id="rId116" ref="B145"/>
    <hyperlink r:id="rId117" ref="B146"/>
    <hyperlink r:id="rId118" ref="B147"/>
    <hyperlink r:id="rId119" ref="B148"/>
    <hyperlink r:id="rId120" ref="B149"/>
    <hyperlink r:id="rId121" ref="B150"/>
    <hyperlink r:id="rId122" ref="B151"/>
    <hyperlink r:id="rId123" ref="B152"/>
    <hyperlink r:id="rId124" ref="B153"/>
    <hyperlink r:id="rId125" ref="B154"/>
    <hyperlink r:id="rId126" ref="B155"/>
    <hyperlink r:id="rId127" ref="B156"/>
    <hyperlink r:id="rId128" ref="B157"/>
    <hyperlink r:id="rId129" ref="B158"/>
    <hyperlink r:id="rId130" ref="B159"/>
    <hyperlink r:id="rId131" ref="B160"/>
    <hyperlink r:id="rId132" ref="B161"/>
    <hyperlink r:id="rId133" ref="B162"/>
    <hyperlink r:id="rId134" ref="B163"/>
    <hyperlink r:id="rId135" ref="B164"/>
    <hyperlink r:id="rId136" ref="B165"/>
    <hyperlink r:id="rId137" ref="B167"/>
    <hyperlink r:id="rId138" ref="B168"/>
  </hyperlinks>
  <drawing r:id="rId139"/>
  <legacyDrawing r:id="rId140"/>
</worksheet>
</file>